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temtsa_temtsagouffo_epfedu_fr/Documents/Bureau/bank_dashboard_project/data/"/>
    </mc:Choice>
  </mc:AlternateContent>
  <xr:revisionPtr revIDLastSave="1" documentId="11_BB6E2810ADF3B46381A79269F215B3B7BC7344AB" xr6:coauthVersionLast="47" xr6:coauthVersionMax="47" xr10:uidLastSave="{2765D368-6408-4E11-975A-6A058FD3626C}"/>
  <bookViews>
    <workbookView xWindow="-108" yWindow="-108" windowWidth="23256" windowHeight="13896" tabRatio="500" firstSheet="1" activeTab="5" xr2:uid="{00000000-000D-0000-FFFF-FFFF00000000}"/>
  </bookViews>
  <sheets>
    <sheet name="ReadMe" sheetId="1" r:id="rId1"/>
    <sheet name="Banks" sheetId="2" r:id="rId2"/>
    <sheet name="FX_Rates" sheetId="3" r:id="rId3"/>
    <sheet name="Financials_Raw" sheetId="4" r:id="rId4"/>
    <sheet name="Financials_USD" sheetId="5" r:id="rId5"/>
    <sheet name="Processed_for_PowerBI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6" i="5" l="1"/>
  <c r="K56" i="5"/>
  <c r="F56" i="5"/>
  <c r="E56" i="5"/>
  <c r="D56" i="5"/>
  <c r="C56" i="5"/>
  <c r="A56" i="5"/>
  <c r="L55" i="5"/>
  <c r="K55" i="5"/>
  <c r="F55" i="5"/>
  <c r="E55" i="5"/>
  <c r="D55" i="5"/>
  <c r="C55" i="5"/>
  <c r="A55" i="5"/>
  <c r="L54" i="5"/>
  <c r="K54" i="5"/>
  <c r="F54" i="5"/>
  <c r="E54" i="5"/>
  <c r="D54" i="5"/>
  <c r="C54" i="5"/>
  <c r="A54" i="5"/>
  <c r="L53" i="5"/>
  <c r="K53" i="5"/>
  <c r="F53" i="5"/>
  <c r="E53" i="5"/>
  <c r="D53" i="5"/>
  <c r="C53" i="5"/>
  <c r="B53" i="5"/>
  <c r="A53" i="5"/>
  <c r="L52" i="5"/>
  <c r="K52" i="5"/>
  <c r="F52" i="5"/>
  <c r="E52" i="5"/>
  <c r="D52" i="5"/>
  <c r="C52" i="5"/>
  <c r="A52" i="5"/>
  <c r="L51" i="5"/>
  <c r="K51" i="5"/>
  <c r="F51" i="5"/>
  <c r="E51" i="5"/>
  <c r="D51" i="5"/>
  <c r="C51" i="5"/>
  <c r="A51" i="5"/>
  <c r="L50" i="5"/>
  <c r="K50" i="5"/>
  <c r="F50" i="5"/>
  <c r="E50" i="5"/>
  <c r="D50" i="5"/>
  <c r="C50" i="5"/>
  <c r="A50" i="5"/>
  <c r="L49" i="5"/>
  <c r="K49" i="5"/>
  <c r="F49" i="5"/>
  <c r="E49" i="5"/>
  <c r="D49" i="5"/>
  <c r="C49" i="5"/>
  <c r="B49" i="5"/>
  <c r="A49" i="5"/>
  <c r="L48" i="5"/>
  <c r="K48" i="5"/>
  <c r="F48" i="5"/>
  <c r="E48" i="5"/>
  <c r="D48" i="5"/>
  <c r="C48" i="5"/>
  <c r="A48" i="5"/>
  <c r="L47" i="5"/>
  <c r="K47" i="5"/>
  <c r="F47" i="5"/>
  <c r="E47" i="5"/>
  <c r="D47" i="5"/>
  <c r="C47" i="5"/>
  <c r="A47" i="5"/>
  <c r="L46" i="5"/>
  <c r="K46" i="5"/>
  <c r="F46" i="5"/>
  <c r="E46" i="5"/>
  <c r="D46" i="5"/>
  <c r="C46" i="5"/>
  <c r="A46" i="5"/>
  <c r="L45" i="5"/>
  <c r="K45" i="5"/>
  <c r="F45" i="5"/>
  <c r="E45" i="5"/>
  <c r="D45" i="5"/>
  <c r="C45" i="5"/>
  <c r="A45" i="5"/>
  <c r="L44" i="5"/>
  <c r="K44" i="5"/>
  <c r="F44" i="5"/>
  <c r="E44" i="5"/>
  <c r="D44" i="5"/>
  <c r="C44" i="5"/>
  <c r="A44" i="5"/>
  <c r="L43" i="5"/>
  <c r="K43" i="5"/>
  <c r="F43" i="5"/>
  <c r="E43" i="5"/>
  <c r="D43" i="5"/>
  <c r="C43" i="5"/>
  <c r="A43" i="5"/>
  <c r="L42" i="5"/>
  <c r="K42" i="5"/>
  <c r="F42" i="5"/>
  <c r="E42" i="5"/>
  <c r="D42" i="5"/>
  <c r="C42" i="5"/>
  <c r="A42" i="5"/>
  <c r="L41" i="5"/>
  <c r="K41" i="5"/>
  <c r="F41" i="5"/>
  <c r="E41" i="5"/>
  <c r="D41" i="5"/>
  <c r="C41" i="5"/>
  <c r="A41" i="5"/>
  <c r="L40" i="5"/>
  <c r="K40" i="5"/>
  <c r="F40" i="5"/>
  <c r="E40" i="5"/>
  <c r="D40" i="5"/>
  <c r="C40" i="5"/>
  <c r="A40" i="5"/>
  <c r="L39" i="5"/>
  <c r="K39" i="5"/>
  <c r="F39" i="5"/>
  <c r="E39" i="5"/>
  <c r="D39" i="5"/>
  <c r="C39" i="5"/>
  <c r="A39" i="5"/>
  <c r="L38" i="5"/>
  <c r="K38" i="5"/>
  <c r="F38" i="5"/>
  <c r="E38" i="5"/>
  <c r="D38" i="5"/>
  <c r="C38" i="5"/>
  <c r="A38" i="5"/>
  <c r="L37" i="5"/>
  <c r="K37" i="5"/>
  <c r="F37" i="5"/>
  <c r="E37" i="5"/>
  <c r="D37" i="5"/>
  <c r="C37" i="5"/>
  <c r="A37" i="5"/>
  <c r="L36" i="5"/>
  <c r="K36" i="5"/>
  <c r="F36" i="5"/>
  <c r="E36" i="5"/>
  <c r="D36" i="5"/>
  <c r="C36" i="5"/>
  <c r="A36" i="5"/>
  <c r="L35" i="5"/>
  <c r="K35" i="5"/>
  <c r="F35" i="5"/>
  <c r="E35" i="5"/>
  <c r="D35" i="5"/>
  <c r="C35" i="5"/>
  <c r="A35" i="5"/>
  <c r="L34" i="5"/>
  <c r="K34" i="5"/>
  <c r="F34" i="5"/>
  <c r="E34" i="5"/>
  <c r="D34" i="5"/>
  <c r="C34" i="5"/>
  <c r="A34" i="5"/>
  <c r="L33" i="5"/>
  <c r="K33" i="5"/>
  <c r="F33" i="5"/>
  <c r="E33" i="5"/>
  <c r="D33" i="5"/>
  <c r="C33" i="5"/>
  <c r="A33" i="5"/>
  <c r="L32" i="5"/>
  <c r="K32" i="5"/>
  <c r="F32" i="5"/>
  <c r="E32" i="5"/>
  <c r="D32" i="5"/>
  <c r="C32" i="5"/>
  <c r="A32" i="5"/>
  <c r="L31" i="5"/>
  <c r="K31" i="5"/>
  <c r="F31" i="5"/>
  <c r="E31" i="5"/>
  <c r="D31" i="5"/>
  <c r="C31" i="5"/>
  <c r="A31" i="5"/>
  <c r="L30" i="5"/>
  <c r="K30" i="5"/>
  <c r="F30" i="5"/>
  <c r="E30" i="5"/>
  <c r="D30" i="5"/>
  <c r="C30" i="5"/>
  <c r="A30" i="5"/>
  <c r="L29" i="5"/>
  <c r="K29" i="5"/>
  <c r="F29" i="5"/>
  <c r="E29" i="5"/>
  <c r="D29" i="5"/>
  <c r="C29" i="5"/>
  <c r="A29" i="5"/>
  <c r="L28" i="5"/>
  <c r="K28" i="5"/>
  <c r="F28" i="5"/>
  <c r="E28" i="5"/>
  <c r="D28" i="5"/>
  <c r="C28" i="5"/>
  <c r="B28" i="5"/>
  <c r="A28" i="5"/>
  <c r="L27" i="5"/>
  <c r="K27" i="5"/>
  <c r="F27" i="5"/>
  <c r="E27" i="5"/>
  <c r="D27" i="5"/>
  <c r="C27" i="5"/>
  <c r="B27" i="5"/>
  <c r="A27" i="5"/>
  <c r="L26" i="5"/>
  <c r="K26" i="5"/>
  <c r="F26" i="5"/>
  <c r="E26" i="5"/>
  <c r="D26" i="5"/>
  <c r="C26" i="5"/>
  <c r="A26" i="5"/>
  <c r="L25" i="5"/>
  <c r="K25" i="5"/>
  <c r="F25" i="5"/>
  <c r="E25" i="5"/>
  <c r="D25" i="5"/>
  <c r="C25" i="5"/>
  <c r="A25" i="5"/>
  <c r="L24" i="5"/>
  <c r="K24" i="5"/>
  <c r="F24" i="5"/>
  <c r="E24" i="5"/>
  <c r="D24" i="5"/>
  <c r="C24" i="5"/>
  <c r="A24" i="5"/>
  <c r="L23" i="5"/>
  <c r="K23" i="5"/>
  <c r="F23" i="5"/>
  <c r="E23" i="5"/>
  <c r="D23" i="5"/>
  <c r="C23" i="5"/>
  <c r="A23" i="5"/>
  <c r="L22" i="5"/>
  <c r="K22" i="5"/>
  <c r="F22" i="5"/>
  <c r="E22" i="5"/>
  <c r="D22" i="5"/>
  <c r="C22" i="5"/>
  <c r="A22" i="5"/>
  <c r="L21" i="5"/>
  <c r="K21" i="5"/>
  <c r="F21" i="5"/>
  <c r="E21" i="5"/>
  <c r="D21" i="5"/>
  <c r="C21" i="5"/>
  <c r="A21" i="5"/>
  <c r="L20" i="5"/>
  <c r="K20" i="5"/>
  <c r="F20" i="5"/>
  <c r="E20" i="5"/>
  <c r="D20" i="5"/>
  <c r="C20" i="5"/>
  <c r="A20" i="5"/>
  <c r="L19" i="5"/>
  <c r="K19" i="5"/>
  <c r="F19" i="5"/>
  <c r="E19" i="5"/>
  <c r="D19" i="5"/>
  <c r="C19" i="5"/>
  <c r="A19" i="5"/>
  <c r="L18" i="5"/>
  <c r="K18" i="5"/>
  <c r="F18" i="5"/>
  <c r="E18" i="5"/>
  <c r="D18" i="5"/>
  <c r="C18" i="5"/>
  <c r="A18" i="5"/>
  <c r="L17" i="5"/>
  <c r="K17" i="5"/>
  <c r="F17" i="5"/>
  <c r="E17" i="5"/>
  <c r="D17" i="5"/>
  <c r="C17" i="5"/>
  <c r="A17" i="5"/>
  <c r="L16" i="5"/>
  <c r="K16" i="5"/>
  <c r="F16" i="5"/>
  <c r="E16" i="5"/>
  <c r="D16" i="5"/>
  <c r="C16" i="5"/>
  <c r="A16" i="5"/>
  <c r="L15" i="5"/>
  <c r="K15" i="5"/>
  <c r="F15" i="5"/>
  <c r="E15" i="5"/>
  <c r="D15" i="5"/>
  <c r="C15" i="5"/>
  <c r="A15" i="5"/>
  <c r="L14" i="5"/>
  <c r="K14" i="5"/>
  <c r="F14" i="5"/>
  <c r="E14" i="5"/>
  <c r="D14" i="5"/>
  <c r="C14" i="5"/>
  <c r="A14" i="5"/>
  <c r="L13" i="5"/>
  <c r="K13" i="5"/>
  <c r="F13" i="5"/>
  <c r="E13" i="5"/>
  <c r="D13" i="5"/>
  <c r="C13" i="5"/>
  <c r="A13" i="5"/>
  <c r="L12" i="5"/>
  <c r="K12" i="5"/>
  <c r="F12" i="5"/>
  <c r="E12" i="5"/>
  <c r="D12" i="5"/>
  <c r="C12" i="5"/>
  <c r="A12" i="5"/>
  <c r="L11" i="5"/>
  <c r="K11" i="5"/>
  <c r="F11" i="5"/>
  <c r="E11" i="5"/>
  <c r="D11" i="5"/>
  <c r="C11" i="5"/>
  <c r="A11" i="5"/>
  <c r="L10" i="5"/>
  <c r="K10" i="5"/>
  <c r="F10" i="5"/>
  <c r="E10" i="5"/>
  <c r="D10" i="5"/>
  <c r="C10" i="5"/>
  <c r="A10" i="5"/>
  <c r="L9" i="5"/>
  <c r="K9" i="5"/>
  <c r="F9" i="5"/>
  <c r="E9" i="5"/>
  <c r="D9" i="5"/>
  <c r="C9" i="5"/>
  <c r="A9" i="5"/>
  <c r="L8" i="5"/>
  <c r="K8" i="5"/>
  <c r="F8" i="5"/>
  <c r="E8" i="5"/>
  <c r="D8" i="5"/>
  <c r="C8" i="5"/>
  <c r="A8" i="5"/>
  <c r="L7" i="5"/>
  <c r="K7" i="5"/>
  <c r="G7" i="5"/>
  <c r="F7" i="5"/>
  <c r="E7" i="5"/>
  <c r="D7" i="5"/>
  <c r="C7" i="5"/>
  <c r="A7" i="5"/>
  <c r="L6" i="5"/>
  <c r="K6" i="5"/>
  <c r="F6" i="5"/>
  <c r="E6" i="5"/>
  <c r="D6" i="5"/>
  <c r="C6" i="5"/>
  <c r="A6" i="5"/>
  <c r="L5" i="5"/>
  <c r="K5" i="5"/>
  <c r="F5" i="5"/>
  <c r="E5" i="5"/>
  <c r="D5" i="5"/>
  <c r="C5" i="5"/>
  <c r="A5" i="5"/>
  <c r="L4" i="5"/>
  <c r="K4" i="5"/>
  <c r="F4" i="5"/>
  <c r="E4" i="5"/>
  <c r="D4" i="5"/>
  <c r="C4" i="5"/>
  <c r="A4" i="5"/>
  <c r="L3" i="5"/>
  <c r="K3" i="5"/>
  <c r="F3" i="5"/>
  <c r="E3" i="5"/>
  <c r="D3" i="5"/>
  <c r="C3" i="5"/>
  <c r="A3" i="5"/>
  <c r="L2" i="5"/>
  <c r="K2" i="5"/>
  <c r="F2" i="5"/>
  <c r="E2" i="5"/>
  <c r="D2" i="5"/>
  <c r="C2" i="5"/>
  <c r="A2" i="5"/>
  <c r="G56" i="5" l="1"/>
  <c r="B54" i="5"/>
  <c r="G53" i="5"/>
  <c r="I48" i="5"/>
  <c r="H48" i="5"/>
  <c r="J48" i="5" s="1"/>
  <c r="G48" i="5"/>
  <c r="B48" i="5"/>
  <c r="G47" i="5"/>
  <c r="B47" i="5"/>
  <c r="G46" i="5"/>
  <c r="B46" i="5"/>
  <c r="B45" i="5"/>
  <c r="G44" i="5"/>
  <c r="B44" i="5"/>
  <c r="G43" i="5"/>
  <c r="B42" i="5"/>
  <c r="I41" i="5"/>
  <c r="H41" i="5"/>
  <c r="J41" i="5" s="1"/>
  <c r="G41" i="5"/>
  <c r="B41" i="5"/>
  <c r="G40" i="5"/>
  <c r="B40" i="5"/>
  <c r="G39" i="5"/>
  <c r="B39" i="5"/>
  <c r="G38" i="5"/>
  <c r="B38" i="5"/>
  <c r="B37" i="5"/>
  <c r="G36" i="5"/>
  <c r="B36" i="5"/>
  <c r="G35" i="5"/>
  <c r="B35" i="5"/>
  <c r="B34" i="5"/>
  <c r="G33" i="5"/>
  <c r="B33" i="5"/>
  <c r="G32" i="5"/>
  <c r="B31" i="5"/>
  <c r="G30" i="5"/>
  <c r="G27" i="5"/>
  <c r="G45" i="5"/>
  <c r="B43" i="5"/>
  <c r="G42" i="5"/>
  <c r="B24" i="5"/>
  <c r="G37" i="5"/>
  <c r="G34" i="5"/>
  <c r="B32" i="5"/>
  <c r="I31" i="5"/>
  <c r="H31" i="5"/>
  <c r="J31" i="5" s="1"/>
  <c r="G31" i="5"/>
  <c r="G26" i="5"/>
  <c r="G23" i="5"/>
  <c r="B23" i="5"/>
  <c r="I22" i="5"/>
  <c r="H22" i="5"/>
  <c r="J22" i="5" s="1"/>
  <c r="G22" i="5"/>
  <c r="B22" i="5"/>
  <c r="G21" i="5"/>
  <c r="B17" i="5"/>
  <c r="H16" i="5"/>
  <c r="B16" i="5"/>
  <c r="H8" i="5"/>
  <c r="B21" i="5"/>
  <c r="G20" i="5"/>
  <c r="B20" i="5"/>
  <c r="G19" i="5"/>
  <c r="B19" i="5"/>
  <c r="G18" i="5"/>
  <c r="B18" i="5"/>
  <c r="G17" i="5"/>
  <c r="G16" i="5"/>
  <c r="G8" i="5"/>
  <c r="I7" i="5"/>
  <c r="I2" i="5"/>
  <c r="B55" i="5"/>
  <c r="I50" i="5"/>
  <c r="B50" i="5"/>
  <c r="G49" i="5"/>
  <c r="I15" i="5"/>
  <c r="H15" i="5"/>
  <c r="J15" i="5" s="1"/>
  <c r="G15" i="5"/>
  <c r="B15" i="5"/>
  <c r="G14" i="5"/>
  <c r="B14" i="5"/>
  <c r="G13" i="5"/>
  <c r="B13" i="5"/>
  <c r="B12" i="5"/>
  <c r="G11" i="5"/>
  <c r="B11" i="5"/>
  <c r="G10" i="5"/>
  <c r="B9" i="5"/>
  <c r="I8" i="5"/>
  <c r="B8" i="5"/>
  <c r="H7" i="5"/>
  <c r="J7" i="5" s="1"/>
  <c r="B3" i="5"/>
  <c r="G2" i="5"/>
  <c r="B2" i="5"/>
  <c r="B56" i="5"/>
  <c r="G55" i="5"/>
  <c r="G54" i="5"/>
  <c r="G52" i="5"/>
  <c r="B52" i="5"/>
  <c r="G51" i="5"/>
  <c r="B51" i="5"/>
  <c r="H50" i="5"/>
  <c r="J50" i="5" s="1"/>
  <c r="G50" i="5"/>
  <c r="B30" i="5"/>
  <c r="G29" i="5"/>
  <c r="B29" i="5"/>
  <c r="G12" i="5"/>
  <c r="B10" i="5"/>
  <c r="G9" i="5"/>
  <c r="B7" i="5"/>
  <c r="G6" i="5"/>
  <c r="B6" i="5"/>
  <c r="I5" i="5"/>
  <c r="H5" i="5"/>
  <c r="J5" i="5" s="1"/>
  <c r="G5" i="5"/>
  <c r="B5" i="5"/>
  <c r="B4" i="5"/>
  <c r="G3" i="5"/>
  <c r="H2" i="5"/>
  <c r="J2" i="5" s="1"/>
  <c r="I54" i="5"/>
  <c r="H54" i="5"/>
  <c r="J54" i="5" s="1"/>
  <c r="I4" i="5"/>
  <c r="H4" i="5"/>
  <c r="J4" i="5" s="1"/>
  <c r="G4" i="5"/>
  <c r="G28" i="5"/>
  <c r="I27" i="5"/>
  <c r="H27" i="5"/>
  <c r="J27" i="5" s="1"/>
  <c r="B26" i="5"/>
  <c r="G25" i="5"/>
  <c r="B25" i="5"/>
  <c r="G24" i="5"/>
  <c r="H40" i="5" l="1"/>
  <c r="I40" i="5"/>
  <c r="H18" i="5"/>
  <c r="I18" i="5"/>
  <c r="I51" i="5"/>
  <c r="H51" i="5"/>
  <c r="J51" i="5" s="1"/>
  <c r="H29" i="5"/>
  <c r="I29" i="5"/>
  <c r="I56" i="5"/>
  <c r="H56" i="5"/>
  <c r="J56" i="5" s="1"/>
  <c r="I53" i="5"/>
  <c r="H53" i="5"/>
  <c r="J53" i="5" s="1"/>
  <c r="I47" i="5"/>
  <c r="H47" i="5"/>
  <c r="J47" i="5" s="1"/>
  <c r="I46" i="5"/>
  <c r="H46" i="5"/>
  <c r="J46" i="5" s="1"/>
  <c r="I43" i="5"/>
  <c r="H43" i="5"/>
  <c r="I44" i="5"/>
  <c r="H44" i="5"/>
  <c r="J44" i="5" s="1"/>
  <c r="I39" i="5"/>
  <c r="H39" i="5"/>
  <c r="J39" i="5" s="1"/>
  <c r="I38" i="5"/>
  <c r="H38" i="5"/>
  <c r="J38" i="5" s="1"/>
  <c r="I36" i="5"/>
  <c r="H36" i="5"/>
  <c r="J36" i="5" s="1"/>
  <c r="I35" i="5"/>
  <c r="H35" i="5"/>
  <c r="J35" i="5" s="1"/>
  <c r="I32" i="5"/>
  <c r="H32" i="5"/>
  <c r="J32" i="5" s="1"/>
  <c r="I30" i="5"/>
  <c r="H28" i="5"/>
  <c r="I33" i="5"/>
  <c r="H33" i="5"/>
  <c r="J33" i="5" s="1"/>
  <c r="I45" i="5"/>
  <c r="H45" i="5"/>
  <c r="J45" i="5" s="1"/>
  <c r="I42" i="5"/>
  <c r="H42" i="5"/>
  <c r="J42" i="5" s="1"/>
  <c r="H24" i="5"/>
  <c r="J24" i="5" s="1"/>
  <c r="I21" i="5"/>
  <c r="H21" i="5"/>
  <c r="J21" i="5" s="1"/>
  <c r="H10" i="5"/>
  <c r="J8" i="5"/>
  <c r="I55" i="5"/>
  <c r="I37" i="5"/>
  <c r="H37" i="5"/>
  <c r="J37" i="5" s="1"/>
  <c r="I34" i="5"/>
  <c r="H34" i="5"/>
  <c r="J34" i="5" s="1"/>
  <c r="I26" i="5"/>
  <c r="H26" i="5"/>
  <c r="J26" i="5" s="1"/>
  <c r="I23" i="5"/>
  <c r="H23" i="5"/>
  <c r="J23" i="5" s="1"/>
  <c r="I20" i="5"/>
  <c r="H20" i="5"/>
  <c r="J20" i="5" s="1"/>
  <c r="I19" i="5"/>
  <c r="H19" i="5"/>
  <c r="I17" i="5"/>
  <c r="H17" i="5"/>
  <c r="J17" i="5" s="1"/>
  <c r="I16" i="5"/>
  <c r="J16" i="5" s="1"/>
  <c r="I10" i="5"/>
  <c r="H3" i="5"/>
  <c r="H55" i="5"/>
  <c r="J55" i="5" s="1"/>
  <c r="I13" i="5"/>
  <c r="H13" i="5"/>
  <c r="J13" i="5" s="1"/>
  <c r="I52" i="5"/>
  <c r="I3" i="5"/>
  <c r="H52" i="5"/>
  <c r="J52" i="5" s="1"/>
  <c r="H49" i="5"/>
  <c r="I14" i="5"/>
  <c r="H14" i="5"/>
  <c r="J14" i="5" s="1"/>
  <c r="I11" i="5"/>
  <c r="H11" i="5"/>
  <c r="J11" i="5" s="1"/>
  <c r="I49" i="5"/>
  <c r="H30" i="5"/>
  <c r="J30" i="5" s="1"/>
  <c r="I28" i="5"/>
  <c r="I12" i="5"/>
  <c r="H12" i="5"/>
  <c r="J12" i="5" s="1"/>
  <c r="I9" i="5"/>
  <c r="H9" i="5"/>
  <c r="J9" i="5" s="1"/>
  <c r="I6" i="5"/>
  <c r="H6" i="5"/>
  <c r="J6" i="5" s="1"/>
  <c r="I25" i="5"/>
  <c r="H25" i="5"/>
  <c r="J25" i="5" s="1"/>
  <c r="I24" i="5"/>
  <c r="J40" i="5" l="1"/>
  <c r="J18" i="5"/>
  <c r="J29" i="5"/>
  <c r="J10" i="5"/>
  <c r="J43" i="5"/>
  <c r="J28" i="5"/>
  <c r="J49" i="5"/>
  <c r="J19" i="5"/>
  <c r="J3" i="5"/>
</calcChain>
</file>

<file path=xl/sharedStrings.xml><?xml version="1.0" encoding="utf-8"?>
<sst xmlns="http://schemas.openxmlformats.org/spreadsheetml/2006/main" count="474" uniqueCount="96">
  <si>
    <t>Top 10 Global Banks — Financial Health Dashboard (2021–2025)</t>
  </si>
  <si>
    <t>RESEARCH QUESTION</t>
  </si>
  <si>
    <t>How does the overall financial health (profitability, efficiency, capital strength, and momentum) of the</t>
  </si>
  <si>
    <t>largest European banks compare with the largest American banks, and how has this evolved 2021-2025?</t>
  </si>
  <si>
    <t>SHEETS IN THIS WORKBOOK</t>
  </si>
  <si>
    <t xml:space="preserve">  Banks                  - dimension table: bank name, country, region, HQ coordinates (for the Power BI map)</t>
  </si>
  <si>
    <t xml:space="preserve">  FX_Rates                - approximate annual average EUR-&gt;USD and GBP-&gt;USD rates, used for currency normalization</t>
  </si>
  <si>
    <t xml:space="preserve">  Financials_Raw           - raw reported figures per bank/year, in NATIVE currency (as published by each bank)</t>
  </si>
  <si>
    <t xml:space="preserve">  Financials_USD          - same data converted to USD using live Excel formulas (VLOOKUP/IF) - inspect column G &amp; H</t>
  </si>
  <si>
    <t xml:space="preserve">  Processed_for_PowerBI - final clean table (USD, +YoY growth, +Financial Health Score) produced by the Java program</t>
  </si>
  <si>
    <t>DATA SOURCES</t>
  </si>
  <si>
    <t xml:space="preserve">  Figures compiled from each bank's FY2021-FY2025 annual reports, 10-K / 20-F filings, and Q4/full-year earnings</t>
  </si>
  <si>
    <t xml:space="preserve">  press releases (JPMorgan Chase, Bank of America, Citigroup, Wells Fargo, Goldman Sachs, BNP Paribas, Banco</t>
  </si>
  <si>
    <t xml:space="preserve">  Santander, Deutsche Bank, Barclays, UBS Group). 2024-2025 figures were verified against company press releases;</t>
  </si>
  <si>
    <t xml:space="preserve">  earlier years are sourced from published annual figures and may be lightly rounded. For citation-grade academic</t>
  </si>
  <si>
    <t xml:space="preserve">  work, cross-check exact figures against the original 10-K/20-F/annual report filings before submission.</t>
  </si>
  <si>
    <t>RECOMMENDED PIPELINE</t>
  </si>
  <si>
    <t xml:space="preserve">  1. (This file) Review/adjust the raw data in Financials_Raw if you want to update or extend it.</t>
  </si>
  <si>
    <t xml:space="preserve">  2. Run the Java program (java/BankFinancialAnalyzer.java) to regenerate processed_bank_data.csv.</t>
  </si>
  <si>
    <t xml:space="preserve">  3. Run the Node.js script (js/validate_and_summarize.js) to check data quality and view the preview dashboard.</t>
  </si>
  <si>
    <t xml:space="preserve">  4. Open Power BI Desktop and follow docs/PowerBI_Guide.md to build the interactive dashboard.</t>
  </si>
  <si>
    <t>See README.md in the project root for the full step-by-step guide.</t>
  </si>
  <si>
    <t>BankID</t>
  </si>
  <si>
    <t>BankName</t>
  </si>
  <si>
    <t>Ticker</t>
  </si>
  <si>
    <t>Country</t>
  </si>
  <si>
    <t>Region</t>
  </si>
  <si>
    <t>HQCity</t>
  </si>
  <si>
    <t>Latitude</t>
  </si>
  <si>
    <t>Longitude</t>
  </si>
  <si>
    <t>ReportingCurrency</t>
  </si>
  <si>
    <t>JPMorgan Chase</t>
  </si>
  <si>
    <t>JPM</t>
  </si>
  <si>
    <t>United States</t>
  </si>
  <si>
    <t>Americas</t>
  </si>
  <si>
    <t>New York</t>
  </si>
  <si>
    <t>USD</t>
  </si>
  <si>
    <t>Bank of America</t>
  </si>
  <si>
    <t>BAC</t>
  </si>
  <si>
    <t>Charlotte</t>
  </si>
  <si>
    <t>Citigroup</t>
  </si>
  <si>
    <t>C</t>
  </si>
  <si>
    <t>Wells Fargo</t>
  </si>
  <si>
    <t>WFC</t>
  </si>
  <si>
    <t>San Francisco</t>
  </si>
  <si>
    <t>Goldman Sachs</t>
  </si>
  <si>
    <t>GS</t>
  </si>
  <si>
    <t>BNP Paribas</t>
  </si>
  <si>
    <t>BNP</t>
  </si>
  <si>
    <t>France</t>
  </si>
  <si>
    <t>Europe</t>
  </si>
  <si>
    <t>Paris</t>
  </si>
  <si>
    <t>EUR</t>
  </si>
  <si>
    <t>Banco Santander</t>
  </si>
  <si>
    <t>SAN</t>
  </si>
  <si>
    <t>Spain</t>
  </si>
  <si>
    <t>Madrid</t>
  </si>
  <si>
    <t>Deutsche Bank</t>
  </si>
  <si>
    <t>DBK</t>
  </si>
  <si>
    <t>Germany</t>
  </si>
  <si>
    <t>Frankfurt</t>
  </si>
  <si>
    <t>Barclays</t>
  </si>
  <si>
    <t>BARC</t>
  </si>
  <si>
    <t>United Kingdom</t>
  </si>
  <si>
    <t>London</t>
  </si>
  <si>
    <t>GBP</t>
  </si>
  <si>
    <t>UBS Group</t>
  </si>
  <si>
    <t>UBSG</t>
  </si>
  <si>
    <t>Switzerland</t>
  </si>
  <si>
    <t>Zurich</t>
  </si>
  <si>
    <t>Societe Generale</t>
  </si>
  <si>
    <t>GLE</t>
  </si>
  <si>
    <t>Year</t>
  </si>
  <si>
    <t>EUR_to_USD</t>
  </si>
  <si>
    <t>GBP_to_USD</t>
  </si>
  <si>
    <t>Source: approximate annual average market rates (ECB / Federal Reserve historical series). Verify exact figures if precision is required for grading.</t>
  </si>
  <si>
    <t>Currency</t>
  </si>
  <si>
    <t>Revenue_M</t>
  </si>
  <si>
    <t>NetIncome_M</t>
  </si>
  <si>
    <t>TotalAssets_M</t>
  </si>
  <si>
    <t>ROE_Pct</t>
  </si>
  <si>
    <t>CET1_Pct</t>
  </si>
  <si>
    <t>Employees</t>
  </si>
  <si>
    <t>Source: company annual reports / earnings releases (10-K, 20-F, FY results press releases), 2021-2025. Figures in millions of native currency.</t>
  </si>
  <si>
    <t>Revenue_Native_M</t>
  </si>
  <si>
    <t>NetIncome_Native_M</t>
  </si>
  <si>
    <t>FX_Rate_to_USD</t>
  </si>
  <si>
    <t>Revenue_USD_M</t>
  </si>
  <si>
    <t>NetIncome_USD_M</t>
  </si>
  <si>
    <t>NetMargin_Pct</t>
  </si>
  <si>
    <t>This sheet recreates the USD conversion using live Excel formulas (VLOOKUP into Banks / FX_Rates) so you can see the calculation step-by-step. The Java program performs the same conversion programmatically, plus extra metrics (YoY growth, Financial Health Score) — see the Processed_for_PowerBI sheet.</t>
  </si>
  <si>
    <t>TotalAssets_USD_M</t>
  </si>
  <si>
    <t>RevenueGrowth_YoY_Pct</t>
  </si>
  <si>
    <t>NetIncomeGrowth_YoY_Pct</t>
  </si>
  <si>
    <t>FinancialHealthScore</t>
  </si>
  <si>
    <t>This is the final, analysis-ready table generated by BankFinancialAnalyzer.java. Import THIS sheet (or the equivalent processed_bank_data.csv) into Power 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</si>
</sst>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9"/>
      <color rgb="FF6B7280"/>
      <name val="Arial"/>
      <charset val="1"/>
    </font>
    <font>
      <sz val="10"/>
      <color rgb="FF008000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opLeftCell="A21" zoomScaleNormal="100" workbookViewId="0"/>
  </sheetViews>
  <sheetFormatPr baseColWidth="10" defaultColWidth="8.6640625" defaultRowHeight="14.4" x14ac:dyDescent="0.3"/>
  <cols>
    <col min="1" max="1" width="115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3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/>
    </row>
    <row r="14" spans="1:1" x14ac:dyDescent="0.3">
      <c r="A14" s="3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  <row r="18" spans="1:1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/>
    </row>
    <row r="21" spans="1:1" x14ac:dyDescent="0.3">
      <c r="A21" s="3" t="s">
        <v>16</v>
      </c>
    </row>
    <row r="22" spans="1:1" x14ac:dyDescent="0.3">
      <c r="A22" s="2" t="s">
        <v>17</v>
      </c>
    </row>
    <row r="23" spans="1:1" x14ac:dyDescent="0.3">
      <c r="A23" s="2" t="s">
        <v>18</v>
      </c>
    </row>
    <row r="24" spans="1:1" x14ac:dyDescent="0.3">
      <c r="A24" s="2" t="s">
        <v>19</v>
      </c>
    </row>
    <row r="25" spans="1:1" x14ac:dyDescent="0.3">
      <c r="A25" s="2" t="s">
        <v>20</v>
      </c>
    </row>
    <row r="26" spans="1:1" x14ac:dyDescent="0.3">
      <c r="A26" s="2"/>
    </row>
    <row r="27" spans="1:1" x14ac:dyDescent="0.3">
      <c r="A27" s="2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8" customWidth="1"/>
    <col min="2" max="2" width="20" customWidth="1"/>
    <col min="3" max="3" width="8" customWidth="1"/>
    <col min="4" max="4" width="16" customWidth="1"/>
    <col min="5" max="5" width="10" customWidth="1"/>
    <col min="6" max="6" width="14" customWidth="1"/>
    <col min="7" max="8" width="10" customWidth="1"/>
    <col min="9" max="9" width="16" customWidth="1"/>
  </cols>
  <sheetData>
    <row r="1" spans="1:9" x14ac:dyDescent="0.3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</row>
    <row r="2" spans="1:9" x14ac:dyDescent="0.3">
      <c r="A2" s="5">
        <v>1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>
        <v>40.712800000000001</v>
      </c>
      <c r="H2" s="5">
        <v>-74.006</v>
      </c>
      <c r="I2" s="5" t="s">
        <v>36</v>
      </c>
    </row>
    <row r="3" spans="1:9" x14ac:dyDescent="0.3">
      <c r="A3" s="5">
        <v>2</v>
      </c>
      <c r="B3" s="5" t="s">
        <v>37</v>
      </c>
      <c r="C3" s="5" t="s">
        <v>38</v>
      </c>
      <c r="D3" s="5" t="s">
        <v>33</v>
      </c>
      <c r="E3" s="5" t="s">
        <v>34</v>
      </c>
      <c r="F3" s="5" t="s">
        <v>39</v>
      </c>
      <c r="G3" s="5">
        <v>35.2271</v>
      </c>
      <c r="H3" s="5">
        <v>-80.843100000000007</v>
      </c>
      <c r="I3" s="5" t="s">
        <v>36</v>
      </c>
    </row>
    <row r="4" spans="1:9" x14ac:dyDescent="0.3">
      <c r="A4" s="5">
        <v>3</v>
      </c>
      <c r="B4" s="5" t="s">
        <v>40</v>
      </c>
      <c r="C4" s="5" t="s">
        <v>41</v>
      </c>
      <c r="D4" s="5" t="s">
        <v>33</v>
      </c>
      <c r="E4" s="5" t="s">
        <v>34</v>
      </c>
      <c r="F4" s="5" t="s">
        <v>35</v>
      </c>
      <c r="G4" s="5">
        <v>40.712800000000001</v>
      </c>
      <c r="H4" s="5">
        <v>-74.006</v>
      </c>
      <c r="I4" s="5" t="s">
        <v>36</v>
      </c>
    </row>
    <row r="5" spans="1:9" x14ac:dyDescent="0.3">
      <c r="A5" s="5">
        <v>4</v>
      </c>
      <c r="B5" s="5" t="s">
        <v>42</v>
      </c>
      <c r="C5" s="5" t="s">
        <v>43</v>
      </c>
      <c r="D5" s="5" t="s">
        <v>33</v>
      </c>
      <c r="E5" s="5" t="s">
        <v>34</v>
      </c>
      <c r="F5" s="5" t="s">
        <v>44</v>
      </c>
      <c r="G5" s="5">
        <v>37.774900000000002</v>
      </c>
      <c r="H5" s="5">
        <v>-122.4194</v>
      </c>
      <c r="I5" s="5" t="s">
        <v>36</v>
      </c>
    </row>
    <row r="6" spans="1:9" x14ac:dyDescent="0.3">
      <c r="A6" s="5">
        <v>5</v>
      </c>
      <c r="B6" s="5" t="s">
        <v>45</v>
      </c>
      <c r="C6" s="5" t="s">
        <v>46</v>
      </c>
      <c r="D6" s="5" t="s">
        <v>33</v>
      </c>
      <c r="E6" s="5" t="s">
        <v>34</v>
      </c>
      <c r="F6" s="5" t="s">
        <v>35</v>
      </c>
      <c r="G6" s="5">
        <v>40.712800000000001</v>
      </c>
      <c r="H6" s="5">
        <v>-74.006</v>
      </c>
      <c r="I6" s="5" t="s">
        <v>36</v>
      </c>
    </row>
    <row r="7" spans="1:9" x14ac:dyDescent="0.3">
      <c r="A7" s="5">
        <v>6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51</v>
      </c>
      <c r="G7" s="5">
        <v>48.8566</v>
      </c>
      <c r="H7" s="5">
        <v>2.3521999999999998</v>
      </c>
      <c r="I7" s="5" t="s">
        <v>52</v>
      </c>
    </row>
    <row r="8" spans="1:9" x14ac:dyDescent="0.3">
      <c r="A8" s="5">
        <v>7</v>
      </c>
      <c r="B8" s="5" t="s">
        <v>53</v>
      </c>
      <c r="C8" s="5" t="s">
        <v>54</v>
      </c>
      <c r="D8" s="5" t="s">
        <v>55</v>
      </c>
      <c r="E8" s="5" t="s">
        <v>50</v>
      </c>
      <c r="F8" s="5" t="s">
        <v>56</v>
      </c>
      <c r="G8" s="5">
        <v>40.416800000000002</v>
      </c>
      <c r="H8" s="5">
        <v>-3.7038000000000002</v>
      </c>
      <c r="I8" s="5" t="s">
        <v>52</v>
      </c>
    </row>
    <row r="9" spans="1:9" x14ac:dyDescent="0.3">
      <c r="A9" s="5">
        <v>8</v>
      </c>
      <c r="B9" s="5" t="s">
        <v>57</v>
      </c>
      <c r="C9" s="5" t="s">
        <v>58</v>
      </c>
      <c r="D9" s="5" t="s">
        <v>59</v>
      </c>
      <c r="E9" s="5" t="s">
        <v>50</v>
      </c>
      <c r="F9" s="5" t="s">
        <v>60</v>
      </c>
      <c r="G9" s="5">
        <v>50.110900000000001</v>
      </c>
      <c r="H9" s="5">
        <v>8.6821000000000002</v>
      </c>
      <c r="I9" s="5" t="s">
        <v>52</v>
      </c>
    </row>
    <row r="10" spans="1:9" x14ac:dyDescent="0.3">
      <c r="A10" s="5">
        <v>9</v>
      </c>
      <c r="B10" s="5" t="s">
        <v>61</v>
      </c>
      <c r="C10" s="5" t="s">
        <v>62</v>
      </c>
      <c r="D10" s="5" t="s">
        <v>63</v>
      </c>
      <c r="E10" s="5" t="s">
        <v>50</v>
      </c>
      <c r="F10" s="5" t="s">
        <v>64</v>
      </c>
      <c r="G10" s="5">
        <v>51.507399999999997</v>
      </c>
      <c r="H10" s="5">
        <v>-0.1278</v>
      </c>
      <c r="I10" s="5" t="s">
        <v>65</v>
      </c>
    </row>
    <row r="11" spans="1:9" x14ac:dyDescent="0.3">
      <c r="A11" s="5">
        <v>10</v>
      </c>
      <c r="B11" s="5" t="s">
        <v>66</v>
      </c>
      <c r="C11" s="5" t="s">
        <v>67</v>
      </c>
      <c r="D11" s="5" t="s">
        <v>68</v>
      </c>
      <c r="E11" s="5" t="s">
        <v>50</v>
      </c>
      <c r="F11" s="5" t="s">
        <v>69</v>
      </c>
      <c r="G11" s="5">
        <v>47.376899999999999</v>
      </c>
      <c r="H11" s="5">
        <v>8.5417000000000005</v>
      </c>
      <c r="I11" s="5" t="s">
        <v>36</v>
      </c>
    </row>
    <row r="12" spans="1:9" x14ac:dyDescent="0.3">
      <c r="A12" s="5">
        <v>11</v>
      </c>
      <c r="B12" s="5" t="s">
        <v>70</v>
      </c>
      <c r="C12" s="5" t="s">
        <v>71</v>
      </c>
      <c r="D12" s="5" t="s">
        <v>49</v>
      </c>
      <c r="E12" s="5" t="s">
        <v>50</v>
      </c>
      <c r="F12" s="5" t="s">
        <v>51</v>
      </c>
      <c r="G12" s="5">
        <v>48.8566</v>
      </c>
      <c r="H12" s="5">
        <v>2.3521999999999998</v>
      </c>
      <c r="I12" s="5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Normal="100" workbookViewId="0"/>
  </sheetViews>
  <sheetFormatPr baseColWidth="10" defaultColWidth="8.6640625" defaultRowHeight="14.4" x14ac:dyDescent="0.3"/>
  <cols>
    <col min="1" max="1" width="8" customWidth="1"/>
    <col min="2" max="3" width="14" customWidth="1"/>
    <col min="4" max="4" width="90" customWidth="1"/>
  </cols>
  <sheetData>
    <row r="1" spans="1:4" x14ac:dyDescent="0.3">
      <c r="A1" s="4" t="s">
        <v>72</v>
      </c>
      <c r="B1" s="4" t="s">
        <v>73</v>
      </c>
      <c r="C1" s="4" t="s">
        <v>74</v>
      </c>
      <c r="D1" s="6" t="s">
        <v>75</v>
      </c>
    </row>
    <row r="2" spans="1:4" x14ac:dyDescent="0.3">
      <c r="A2" s="5">
        <v>2021</v>
      </c>
      <c r="B2" s="5">
        <v>1.1830000000000001</v>
      </c>
      <c r="C2" s="5">
        <v>1.3759999999999999</v>
      </c>
    </row>
    <row r="3" spans="1:4" x14ac:dyDescent="0.3">
      <c r="A3" s="5">
        <v>2022</v>
      </c>
      <c r="B3" s="5">
        <v>1.0529999999999999</v>
      </c>
      <c r="C3" s="5">
        <v>1.2370000000000001</v>
      </c>
    </row>
    <row r="4" spans="1:4" x14ac:dyDescent="0.3">
      <c r="A4" s="5">
        <v>2023</v>
      </c>
      <c r="B4" s="5">
        <v>1.0820000000000001</v>
      </c>
      <c r="C4" s="5">
        <v>1.244</v>
      </c>
    </row>
    <row r="5" spans="1:4" x14ac:dyDescent="0.3">
      <c r="A5" s="5">
        <v>2024</v>
      </c>
      <c r="B5" s="5">
        <v>1.0820000000000001</v>
      </c>
      <c r="C5" s="5">
        <v>1.278</v>
      </c>
    </row>
    <row r="6" spans="1:4" x14ac:dyDescent="0.3">
      <c r="A6" s="5">
        <v>2025</v>
      </c>
      <c r="B6" s="5">
        <v>1.08</v>
      </c>
      <c r="C6" s="5">
        <v>1.28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2" width="8" customWidth="1"/>
    <col min="3" max="3" width="10" customWidth="1"/>
    <col min="4" max="5" width="12" customWidth="1"/>
    <col min="6" max="6" width="14" customWidth="1"/>
    <col min="7" max="8" width="10" customWidth="1"/>
    <col min="9" max="9" width="12" customWidth="1"/>
    <col min="10" max="10" width="90" customWidth="1"/>
  </cols>
  <sheetData>
    <row r="1" spans="1:10" x14ac:dyDescent="0.3">
      <c r="A1" s="4" t="s">
        <v>22</v>
      </c>
      <c r="B1" s="4" t="s">
        <v>72</v>
      </c>
      <c r="C1" s="4" t="s">
        <v>76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81</v>
      </c>
      <c r="I1" s="4" t="s">
        <v>82</v>
      </c>
      <c r="J1" s="6" t="s">
        <v>83</v>
      </c>
    </row>
    <row r="2" spans="1:10" x14ac:dyDescent="0.3">
      <c r="A2" s="5">
        <v>1</v>
      </c>
      <c r="B2" s="5">
        <v>2021</v>
      </c>
      <c r="C2" s="5" t="s">
        <v>36</v>
      </c>
      <c r="D2" s="5">
        <v>121640</v>
      </c>
      <c r="E2" s="5">
        <v>48334</v>
      </c>
      <c r="F2" s="5">
        <v>3743567</v>
      </c>
      <c r="G2" s="5">
        <v>23</v>
      </c>
      <c r="H2" s="5">
        <v>13.1</v>
      </c>
      <c r="I2" s="5">
        <v>271025</v>
      </c>
    </row>
    <row r="3" spans="1:10" x14ac:dyDescent="0.3">
      <c r="A3" s="5">
        <v>1</v>
      </c>
      <c r="B3" s="5">
        <v>2022</v>
      </c>
      <c r="C3" s="5" t="s">
        <v>36</v>
      </c>
      <c r="D3" s="5">
        <v>128695</v>
      </c>
      <c r="E3" s="5">
        <v>37676</v>
      </c>
      <c r="F3" s="5">
        <v>3665743</v>
      </c>
      <c r="G3" s="5">
        <v>18</v>
      </c>
      <c r="H3" s="5">
        <v>12.5</v>
      </c>
      <c r="I3" s="5">
        <v>293723</v>
      </c>
    </row>
    <row r="4" spans="1:10" x14ac:dyDescent="0.3">
      <c r="A4" s="5">
        <v>1</v>
      </c>
      <c r="B4" s="5">
        <v>2023</v>
      </c>
      <c r="C4" s="5" t="s">
        <v>36</v>
      </c>
      <c r="D4" s="5">
        <v>158104</v>
      </c>
      <c r="E4" s="5">
        <v>49552</v>
      </c>
      <c r="F4" s="5">
        <v>3875393</v>
      </c>
      <c r="G4" s="5">
        <v>19</v>
      </c>
      <c r="H4" s="5">
        <v>15</v>
      </c>
      <c r="I4" s="5">
        <v>309926</v>
      </c>
    </row>
    <row r="5" spans="1:10" x14ac:dyDescent="0.3">
      <c r="A5" s="5">
        <v>1</v>
      </c>
      <c r="B5" s="5">
        <v>2024</v>
      </c>
      <c r="C5" s="5" t="s">
        <v>36</v>
      </c>
      <c r="D5" s="5">
        <v>177556</v>
      </c>
      <c r="E5" s="5">
        <v>58471</v>
      </c>
      <c r="F5" s="5">
        <v>4002814</v>
      </c>
      <c r="G5" s="5">
        <v>21</v>
      </c>
      <c r="H5" s="5">
        <v>15.3</v>
      </c>
      <c r="I5" s="5">
        <v>316043</v>
      </c>
    </row>
    <row r="6" spans="1:10" x14ac:dyDescent="0.3">
      <c r="A6" s="5">
        <v>1</v>
      </c>
      <c r="B6" s="5">
        <v>2025</v>
      </c>
      <c r="C6" s="5" t="s">
        <v>36</v>
      </c>
      <c r="D6" s="5">
        <v>185600</v>
      </c>
      <c r="E6" s="5">
        <v>57048</v>
      </c>
      <c r="F6" s="5">
        <v>4400000</v>
      </c>
      <c r="G6" s="5">
        <v>17</v>
      </c>
      <c r="H6" s="5">
        <v>14.5</v>
      </c>
      <c r="I6" s="5">
        <v>317230</v>
      </c>
    </row>
    <row r="7" spans="1:10" x14ac:dyDescent="0.3">
      <c r="A7" s="5">
        <v>2</v>
      </c>
      <c r="B7" s="5">
        <v>2021</v>
      </c>
      <c r="C7" s="5" t="s">
        <v>36</v>
      </c>
      <c r="D7" s="5">
        <v>89113</v>
      </c>
      <c r="E7" s="5">
        <v>31978</v>
      </c>
      <c r="F7" s="5">
        <v>3169495</v>
      </c>
      <c r="G7" s="5">
        <v>11</v>
      </c>
      <c r="H7" s="5">
        <v>10.6</v>
      </c>
      <c r="I7" s="5">
        <v>213000</v>
      </c>
    </row>
    <row r="8" spans="1:10" x14ac:dyDescent="0.3">
      <c r="A8" s="5">
        <v>2</v>
      </c>
      <c r="B8" s="5">
        <v>2022</v>
      </c>
      <c r="C8" s="5" t="s">
        <v>36</v>
      </c>
      <c r="D8" s="5">
        <v>94951</v>
      </c>
      <c r="E8" s="5">
        <v>27528</v>
      </c>
      <c r="F8" s="5">
        <v>3051375</v>
      </c>
      <c r="G8" s="5">
        <v>10</v>
      </c>
      <c r="H8" s="5">
        <v>11.2</v>
      </c>
      <c r="I8" s="5">
        <v>217000</v>
      </c>
    </row>
    <row r="9" spans="1:10" x14ac:dyDescent="0.3">
      <c r="A9" s="5">
        <v>2</v>
      </c>
      <c r="B9" s="5">
        <v>2023</v>
      </c>
      <c r="C9" s="5" t="s">
        <v>36</v>
      </c>
      <c r="D9" s="5">
        <v>98571</v>
      </c>
      <c r="E9" s="5">
        <v>26515</v>
      </c>
      <c r="F9" s="5">
        <v>3180151</v>
      </c>
      <c r="G9" s="5">
        <v>8.8000000000000007</v>
      </c>
      <c r="H9" s="5">
        <v>11.8</v>
      </c>
      <c r="I9" s="5">
        <v>213000</v>
      </c>
    </row>
    <row r="10" spans="1:10" x14ac:dyDescent="0.3">
      <c r="A10" s="5">
        <v>2</v>
      </c>
      <c r="B10" s="5">
        <v>2024</v>
      </c>
      <c r="C10" s="5" t="s">
        <v>36</v>
      </c>
      <c r="D10" s="5">
        <v>105648</v>
      </c>
      <c r="E10" s="5">
        <v>27000</v>
      </c>
      <c r="F10" s="5">
        <v>3298880</v>
      </c>
      <c r="G10" s="5">
        <v>9.3000000000000007</v>
      </c>
      <c r="H10" s="5">
        <v>11.9</v>
      </c>
      <c r="I10" s="5">
        <v>213000</v>
      </c>
    </row>
    <row r="11" spans="1:10" x14ac:dyDescent="0.3">
      <c r="A11" s="5">
        <v>2</v>
      </c>
      <c r="B11" s="5">
        <v>2025</v>
      </c>
      <c r="C11" s="5" t="s">
        <v>36</v>
      </c>
      <c r="D11" s="5">
        <v>113100</v>
      </c>
      <c r="E11" s="5">
        <v>30500</v>
      </c>
      <c r="F11" s="5">
        <v>3380000</v>
      </c>
      <c r="G11" s="5">
        <v>10.199999999999999</v>
      </c>
      <c r="H11" s="5">
        <v>11.7</v>
      </c>
      <c r="I11" s="5">
        <v>215000</v>
      </c>
    </row>
    <row r="12" spans="1:10" x14ac:dyDescent="0.3">
      <c r="A12" s="5">
        <v>3</v>
      </c>
      <c r="B12" s="5">
        <v>2021</v>
      </c>
      <c r="C12" s="5" t="s">
        <v>36</v>
      </c>
      <c r="D12" s="5">
        <v>71884</v>
      </c>
      <c r="E12" s="5">
        <v>21952</v>
      </c>
      <c r="F12" s="5">
        <v>2291413</v>
      </c>
      <c r="G12" s="5">
        <v>9.5</v>
      </c>
      <c r="H12" s="5">
        <v>12.2</v>
      </c>
      <c r="I12" s="5">
        <v>223400</v>
      </c>
    </row>
    <row r="13" spans="1:10" x14ac:dyDescent="0.3">
      <c r="A13" s="5">
        <v>3</v>
      </c>
      <c r="B13" s="5">
        <v>2022</v>
      </c>
      <c r="C13" s="5" t="s">
        <v>36</v>
      </c>
      <c r="D13" s="5">
        <v>75338</v>
      </c>
      <c r="E13" s="5">
        <v>14845</v>
      </c>
      <c r="F13" s="5">
        <v>2416676</v>
      </c>
      <c r="G13" s="5">
        <v>6</v>
      </c>
      <c r="H13" s="5">
        <v>13</v>
      </c>
      <c r="I13" s="5">
        <v>240000</v>
      </c>
    </row>
    <row r="14" spans="1:10" x14ac:dyDescent="0.3">
      <c r="A14" s="5">
        <v>3</v>
      </c>
      <c r="B14" s="5">
        <v>2023</v>
      </c>
      <c r="C14" s="5" t="s">
        <v>36</v>
      </c>
      <c r="D14" s="5">
        <v>78462</v>
      </c>
      <c r="E14" s="5">
        <v>9227</v>
      </c>
      <c r="F14" s="5">
        <v>2411800</v>
      </c>
      <c r="G14" s="5">
        <v>4</v>
      </c>
      <c r="H14" s="5">
        <v>13.4</v>
      </c>
      <c r="I14" s="5">
        <v>239000</v>
      </c>
    </row>
    <row r="15" spans="1:10" x14ac:dyDescent="0.3">
      <c r="A15" s="5">
        <v>3</v>
      </c>
      <c r="B15" s="5">
        <v>2024</v>
      </c>
      <c r="C15" s="5" t="s">
        <v>36</v>
      </c>
      <c r="D15" s="5">
        <v>80707</v>
      </c>
      <c r="E15" s="5">
        <v>12700</v>
      </c>
      <c r="F15" s="5">
        <v>2352700</v>
      </c>
      <c r="G15" s="5">
        <v>6.1</v>
      </c>
      <c r="H15" s="5">
        <v>13.6</v>
      </c>
      <c r="I15" s="5">
        <v>229000</v>
      </c>
    </row>
    <row r="16" spans="1:10" x14ac:dyDescent="0.3">
      <c r="A16" s="5">
        <v>3</v>
      </c>
      <c r="B16" s="5">
        <v>2025</v>
      </c>
      <c r="C16" s="5" t="s">
        <v>36</v>
      </c>
      <c r="D16" s="5">
        <v>85200</v>
      </c>
      <c r="E16" s="5">
        <v>14300</v>
      </c>
      <c r="F16" s="5">
        <v>2480000</v>
      </c>
      <c r="G16" s="5">
        <v>6.8</v>
      </c>
      <c r="H16" s="5">
        <v>13.5</v>
      </c>
      <c r="I16" s="5">
        <v>223000</v>
      </c>
    </row>
    <row r="17" spans="1:9" x14ac:dyDescent="0.3">
      <c r="A17" s="5">
        <v>4</v>
      </c>
      <c r="B17" s="5">
        <v>2021</v>
      </c>
      <c r="C17" s="5" t="s">
        <v>36</v>
      </c>
      <c r="D17" s="5">
        <v>78492</v>
      </c>
      <c r="E17" s="5">
        <v>21548</v>
      </c>
      <c r="F17" s="5">
        <v>1948068</v>
      </c>
      <c r="G17" s="5">
        <v>10.5</v>
      </c>
      <c r="H17" s="5">
        <v>11</v>
      </c>
      <c r="I17" s="5">
        <v>238696</v>
      </c>
    </row>
    <row r="18" spans="1:9" x14ac:dyDescent="0.3">
      <c r="A18" s="5">
        <v>4</v>
      </c>
      <c r="B18" s="5">
        <v>2022</v>
      </c>
      <c r="C18" s="5" t="s">
        <v>36</v>
      </c>
      <c r="D18" s="5">
        <v>73785</v>
      </c>
      <c r="E18" s="5">
        <v>13166</v>
      </c>
      <c r="F18" s="5">
        <v>1881017</v>
      </c>
      <c r="G18" s="5">
        <v>6.4</v>
      </c>
      <c r="H18" s="5">
        <v>10.8</v>
      </c>
      <c r="I18" s="5">
        <v>238472</v>
      </c>
    </row>
    <row r="19" spans="1:9" x14ac:dyDescent="0.3">
      <c r="A19" s="5">
        <v>4</v>
      </c>
      <c r="B19" s="5">
        <v>2023</v>
      </c>
      <c r="C19" s="5" t="s">
        <v>36</v>
      </c>
      <c r="D19" s="5">
        <v>82594</v>
      </c>
      <c r="E19" s="5">
        <v>19142</v>
      </c>
      <c r="F19" s="5">
        <v>1932469</v>
      </c>
      <c r="G19" s="5">
        <v>10</v>
      </c>
      <c r="H19" s="5">
        <v>11.4</v>
      </c>
      <c r="I19" s="5">
        <v>226400</v>
      </c>
    </row>
    <row r="20" spans="1:9" x14ac:dyDescent="0.3">
      <c r="A20" s="5">
        <v>4</v>
      </c>
      <c r="B20" s="5">
        <v>2024</v>
      </c>
      <c r="C20" s="5" t="s">
        <v>36</v>
      </c>
      <c r="D20" s="5">
        <v>82300</v>
      </c>
      <c r="E20" s="5">
        <v>19696</v>
      </c>
      <c r="F20" s="5">
        <v>1929753</v>
      </c>
      <c r="G20" s="5">
        <v>11.6</v>
      </c>
      <c r="H20" s="5">
        <v>11.1</v>
      </c>
      <c r="I20" s="5">
        <v>215637</v>
      </c>
    </row>
    <row r="21" spans="1:9" x14ac:dyDescent="0.3">
      <c r="A21" s="5">
        <v>4</v>
      </c>
      <c r="B21" s="5">
        <v>2025</v>
      </c>
      <c r="C21" s="5" t="s">
        <v>36</v>
      </c>
      <c r="D21" s="5">
        <v>83700</v>
      </c>
      <c r="E21" s="5">
        <v>21300</v>
      </c>
      <c r="F21" s="5">
        <v>1950000</v>
      </c>
      <c r="G21" s="5">
        <v>12.3</v>
      </c>
      <c r="H21" s="5">
        <v>11.3</v>
      </c>
      <c r="I21" s="5">
        <v>210000</v>
      </c>
    </row>
    <row r="22" spans="1:9" x14ac:dyDescent="0.3">
      <c r="A22" s="5">
        <v>5</v>
      </c>
      <c r="B22" s="5">
        <v>2021</v>
      </c>
      <c r="C22" s="5" t="s">
        <v>36</v>
      </c>
      <c r="D22" s="5">
        <v>59339</v>
      </c>
      <c r="E22" s="5">
        <v>21635</v>
      </c>
      <c r="F22" s="5">
        <v>1463988</v>
      </c>
      <c r="G22" s="5">
        <v>23</v>
      </c>
      <c r="H22" s="5">
        <v>13.1</v>
      </c>
      <c r="I22" s="5">
        <v>43900</v>
      </c>
    </row>
    <row r="23" spans="1:9" x14ac:dyDescent="0.3">
      <c r="A23" s="5">
        <v>5</v>
      </c>
      <c r="B23" s="5">
        <v>2022</v>
      </c>
      <c r="C23" s="5" t="s">
        <v>36</v>
      </c>
      <c r="D23" s="5">
        <v>47365</v>
      </c>
      <c r="E23" s="5">
        <v>11261</v>
      </c>
      <c r="F23" s="5">
        <v>1441829</v>
      </c>
      <c r="G23" s="5">
        <v>10.199999999999999</v>
      </c>
      <c r="H23" s="5">
        <v>14</v>
      </c>
      <c r="I23" s="5">
        <v>49100</v>
      </c>
    </row>
    <row r="24" spans="1:9" x14ac:dyDescent="0.3">
      <c r="A24" s="5">
        <v>5</v>
      </c>
      <c r="B24" s="5">
        <v>2023</v>
      </c>
      <c r="C24" s="5" t="s">
        <v>36</v>
      </c>
      <c r="D24" s="5">
        <v>46254</v>
      </c>
      <c r="E24" s="5">
        <v>8516</v>
      </c>
      <c r="F24" s="5">
        <v>1641949</v>
      </c>
      <c r="G24" s="5">
        <v>7.5</v>
      </c>
      <c r="H24" s="5">
        <v>14.6</v>
      </c>
      <c r="I24" s="5">
        <v>45300</v>
      </c>
    </row>
    <row r="25" spans="1:9" x14ac:dyDescent="0.3">
      <c r="A25" s="5">
        <v>5</v>
      </c>
      <c r="B25" s="5">
        <v>2024</v>
      </c>
      <c r="C25" s="5" t="s">
        <v>36</v>
      </c>
      <c r="D25" s="5">
        <v>53510</v>
      </c>
      <c r="E25" s="5">
        <v>14281</v>
      </c>
      <c r="F25" s="5">
        <v>1761661</v>
      </c>
      <c r="G25" s="5">
        <v>12.7</v>
      </c>
      <c r="H25" s="5">
        <v>15</v>
      </c>
      <c r="I25" s="5">
        <v>46500</v>
      </c>
    </row>
    <row r="26" spans="1:9" x14ac:dyDescent="0.3">
      <c r="A26" s="5">
        <v>5</v>
      </c>
      <c r="B26" s="5">
        <v>2025</v>
      </c>
      <c r="C26" s="5" t="s">
        <v>36</v>
      </c>
      <c r="D26" s="5">
        <v>58280</v>
      </c>
      <c r="E26" s="5">
        <v>17180</v>
      </c>
      <c r="F26" s="5">
        <v>1850000</v>
      </c>
      <c r="G26" s="5">
        <v>15</v>
      </c>
      <c r="H26" s="5">
        <v>15</v>
      </c>
      <c r="I26" s="5">
        <v>47500</v>
      </c>
    </row>
    <row r="27" spans="1:9" x14ac:dyDescent="0.3">
      <c r="A27" s="5">
        <v>6</v>
      </c>
      <c r="B27" s="5">
        <v>2021</v>
      </c>
      <c r="C27" s="5" t="s">
        <v>52</v>
      </c>
      <c r="D27" s="5">
        <v>44330</v>
      </c>
      <c r="E27" s="5">
        <v>9488</v>
      </c>
      <c r="F27" s="5">
        <v>2633377</v>
      </c>
      <c r="G27" s="5">
        <v>8.3000000000000007</v>
      </c>
      <c r="H27" s="5">
        <v>12.9</v>
      </c>
      <c r="I27" s="5">
        <v>190000</v>
      </c>
    </row>
    <row r="28" spans="1:9" x14ac:dyDescent="0.3">
      <c r="A28" s="5">
        <v>6</v>
      </c>
      <c r="B28" s="5">
        <v>2022</v>
      </c>
      <c r="C28" s="5" t="s">
        <v>52</v>
      </c>
      <c r="D28" s="5">
        <v>46184</v>
      </c>
      <c r="E28" s="5">
        <v>10196</v>
      </c>
      <c r="F28" s="5">
        <v>2666263</v>
      </c>
      <c r="G28" s="5">
        <v>9.8000000000000007</v>
      </c>
      <c r="H28" s="5">
        <v>12.3</v>
      </c>
      <c r="I28" s="5">
        <v>190000</v>
      </c>
    </row>
    <row r="29" spans="1:9" x14ac:dyDescent="0.3">
      <c r="A29" s="5">
        <v>6</v>
      </c>
      <c r="B29" s="5">
        <v>2023</v>
      </c>
      <c r="C29" s="5" t="s">
        <v>52</v>
      </c>
      <c r="D29" s="5">
        <v>45494</v>
      </c>
      <c r="E29" s="5">
        <v>11097</v>
      </c>
      <c r="F29" s="5">
        <v>2591589</v>
      </c>
      <c r="G29" s="5">
        <v>9.5</v>
      </c>
      <c r="H29" s="5">
        <v>13.2</v>
      </c>
      <c r="I29" s="5">
        <v>183000</v>
      </c>
    </row>
    <row r="30" spans="1:9" x14ac:dyDescent="0.3">
      <c r="A30" s="5">
        <v>6</v>
      </c>
      <c r="B30" s="5">
        <v>2024</v>
      </c>
      <c r="C30" s="5" t="s">
        <v>52</v>
      </c>
      <c r="D30" s="5">
        <v>48825</v>
      </c>
      <c r="E30" s="5">
        <v>11688</v>
      </c>
      <c r="F30" s="5">
        <v>2593955</v>
      </c>
      <c r="G30" s="5">
        <v>11.5</v>
      </c>
      <c r="H30" s="5">
        <v>12.7</v>
      </c>
      <c r="I30" s="5">
        <v>178000</v>
      </c>
    </row>
    <row r="31" spans="1:9" x14ac:dyDescent="0.3">
      <c r="A31" s="5">
        <v>6</v>
      </c>
      <c r="B31" s="5">
        <v>2025</v>
      </c>
      <c r="C31" s="5" t="s">
        <v>52</v>
      </c>
      <c r="D31" s="5">
        <v>51223</v>
      </c>
      <c r="E31" s="5">
        <v>12225</v>
      </c>
      <c r="F31" s="5">
        <v>2700000</v>
      </c>
      <c r="G31" s="5">
        <v>11.6</v>
      </c>
      <c r="H31" s="5">
        <v>12.6</v>
      </c>
      <c r="I31" s="5">
        <v>178000</v>
      </c>
    </row>
    <row r="32" spans="1:9" x14ac:dyDescent="0.3">
      <c r="A32" s="5">
        <v>7</v>
      </c>
      <c r="B32" s="5">
        <v>2021</v>
      </c>
      <c r="C32" s="5" t="s">
        <v>52</v>
      </c>
      <c r="D32" s="5">
        <v>45970</v>
      </c>
      <c r="E32" s="5">
        <v>8124</v>
      </c>
      <c r="F32" s="5">
        <v>1610973</v>
      </c>
      <c r="G32" s="5">
        <v>11.1</v>
      </c>
      <c r="H32" s="5">
        <v>11.9</v>
      </c>
      <c r="I32" s="5">
        <v>191589</v>
      </c>
    </row>
    <row r="33" spans="1:9" x14ac:dyDescent="0.3">
      <c r="A33" s="5">
        <v>7</v>
      </c>
      <c r="B33" s="5">
        <v>2022</v>
      </c>
      <c r="C33" s="5" t="s">
        <v>52</v>
      </c>
      <c r="D33" s="5">
        <v>52211</v>
      </c>
      <c r="E33" s="5">
        <v>9605</v>
      </c>
      <c r="F33" s="5">
        <v>1734659</v>
      </c>
      <c r="G33" s="5">
        <v>13.4</v>
      </c>
      <c r="H33" s="5">
        <v>12</v>
      </c>
      <c r="I33" s="5">
        <v>212764</v>
      </c>
    </row>
    <row r="34" spans="1:9" x14ac:dyDescent="0.3">
      <c r="A34" s="5">
        <v>7</v>
      </c>
      <c r="B34" s="5">
        <v>2023</v>
      </c>
      <c r="C34" s="5" t="s">
        <v>52</v>
      </c>
      <c r="D34" s="5">
        <v>57411</v>
      </c>
      <c r="E34" s="5">
        <v>11076</v>
      </c>
      <c r="F34" s="5">
        <v>1797030</v>
      </c>
      <c r="G34" s="5">
        <v>14.6</v>
      </c>
      <c r="H34" s="5">
        <v>12.3</v>
      </c>
      <c r="I34" s="5">
        <v>212935</v>
      </c>
    </row>
    <row r="35" spans="1:9" x14ac:dyDescent="0.3">
      <c r="A35" s="5">
        <v>7</v>
      </c>
      <c r="B35" s="5">
        <v>2024</v>
      </c>
      <c r="C35" s="5" t="s">
        <v>52</v>
      </c>
      <c r="D35" s="5">
        <v>58380</v>
      </c>
      <c r="E35" s="5">
        <v>12574</v>
      </c>
      <c r="F35" s="5">
        <v>1838223</v>
      </c>
      <c r="G35" s="5">
        <v>15.5</v>
      </c>
      <c r="H35" s="5">
        <v>12.8</v>
      </c>
      <c r="I35" s="5">
        <v>217864</v>
      </c>
    </row>
    <row r="36" spans="1:9" x14ac:dyDescent="0.3">
      <c r="A36" s="5">
        <v>7</v>
      </c>
      <c r="B36" s="5">
        <v>2025</v>
      </c>
      <c r="C36" s="5" t="s">
        <v>52</v>
      </c>
      <c r="D36" s="5">
        <v>62400</v>
      </c>
      <c r="E36" s="5">
        <v>14101</v>
      </c>
      <c r="F36" s="5">
        <v>1900000</v>
      </c>
      <c r="G36" s="5">
        <v>16.3</v>
      </c>
      <c r="H36" s="5">
        <v>13.5</v>
      </c>
      <c r="I36" s="5">
        <v>220000</v>
      </c>
    </row>
    <row r="37" spans="1:9" x14ac:dyDescent="0.3">
      <c r="A37" s="5">
        <v>8</v>
      </c>
      <c r="B37" s="5">
        <v>2021</v>
      </c>
      <c r="C37" s="5" t="s">
        <v>52</v>
      </c>
      <c r="D37" s="5">
        <v>25383</v>
      </c>
      <c r="E37" s="5">
        <v>2510</v>
      </c>
      <c r="F37" s="5">
        <v>1323862</v>
      </c>
      <c r="G37" s="5">
        <v>3.8</v>
      </c>
      <c r="H37" s="5">
        <v>13.2</v>
      </c>
      <c r="I37" s="5">
        <v>84964</v>
      </c>
    </row>
    <row r="38" spans="1:9" x14ac:dyDescent="0.3">
      <c r="A38" s="5">
        <v>8</v>
      </c>
      <c r="B38" s="5">
        <v>2022</v>
      </c>
      <c r="C38" s="5" t="s">
        <v>52</v>
      </c>
      <c r="D38" s="5">
        <v>27224</v>
      </c>
      <c r="E38" s="5">
        <v>5659</v>
      </c>
      <c r="F38" s="5">
        <v>1336806</v>
      </c>
      <c r="G38" s="5">
        <v>7.9</v>
      </c>
      <c r="H38" s="5">
        <v>13.4</v>
      </c>
      <c r="I38" s="5">
        <v>84955</v>
      </c>
    </row>
    <row r="39" spans="1:9" x14ac:dyDescent="0.3">
      <c r="A39" s="5">
        <v>8</v>
      </c>
      <c r="B39" s="5">
        <v>2023</v>
      </c>
      <c r="C39" s="5" t="s">
        <v>52</v>
      </c>
      <c r="D39" s="5">
        <v>28880</v>
      </c>
      <c r="E39" s="5">
        <v>4894</v>
      </c>
      <c r="F39" s="5">
        <v>1305423</v>
      </c>
      <c r="G39" s="5">
        <v>7.4</v>
      </c>
      <c r="H39" s="5">
        <v>13.7</v>
      </c>
      <c r="I39" s="5">
        <v>90130</v>
      </c>
    </row>
    <row r="40" spans="1:9" x14ac:dyDescent="0.3">
      <c r="A40" s="5">
        <v>8</v>
      </c>
      <c r="B40" s="5">
        <v>2024</v>
      </c>
      <c r="C40" s="5" t="s">
        <v>52</v>
      </c>
      <c r="D40" s="5">
        <v>30100</v>
      </c>
      <c r="E40" s="5">
        <v>2666</v>
      </c>
      <c r="F40" s="5">
        <v>1352840</v>
      </c>
      <c r="G40" s="5">
        <v>4.7</v>
      </c>
      <c r="H40" s="5">
        <v>13.8</v>
      </c>
      <c r="I40" s="5">
        <v>90261</v>
      </c>
    </row>
    <row r="41" spans="1:9" x14ac:dyDescent="0.3">
      <c r="A41" s="5">
        <v>8</v>
      </c>
      <c r="B41" s="5">
        <v>2025</v>
      </c>
      <c r="C41" s="5" t="s">
        <v>52</v>
      </c>
      <c r="D41" s="5">
        <v>32100</v>
      </c>
      <c r="E41" s="5">
        <v>6120</v>
      </c>
      <c r="F41" s="5">
        <v>1400000</v>
      </c>
      <c r="G41" s="5">
        <v>10.3</v>
      </c>
      <c r="H41" s="5">
        <v>14.2</v>
      </c>
      <c r="I41" s="5">
        <v>90000</v>
      </c>
    </row>
    <row r="42" spans="1:9" x14ac:dyDescent="0.3">
      <c r="A42" s="5">
        <v>9</v>
      </c>
      <c r="B42" s="5">
        <v>2021</v>
      </c>
      <c r="C42" s="5" t="s">
        <v>65</v>
      </c>
      <c r="D42" s="5">
        <v>21940</v>
      </c>
      <c r="E42" s="5">
        <v>5360</v>
      </c>
      <c r="F42" s="5">
        <v>1384410</v>
      </c>
      <c r="G42" s="5">
        <v>10.4</v>
      </c>
      <c r="H42" s="5">
        <v>15.1</v>
      </c>
      <c r="I42" s="5">
        <v>83500</v>
      </c>
    </row>
    <row r="43" spans="1:9" x14ac:dyDescent="0.3">
      <c r="A43" s="5">
        <v>9</v>
      </c>
      <c r="B43" s="5">
        <v>2022</v>
      </c>
      <c r="C43" s="5" t="s">
        <v>65</v>
      </c>
      <c r="D43" s="5">
        <v>24935</v>
      </c>
      <c r="E43" s="5">
        <v>3536</v>
      </c>
      <c r="F43" s="5">
        <v>1542114</v>
      </c>
      <c r="G43" s="5">
        <v>9.9</v>
      </c>
      <c r="H43" s="5">
        <v>13.9</v>
      </c>
      <c r="I43" s="5">
        <v>86600</v>
      </c>
    </row>
    <row r="44" spans="1:9" x14ac:dyDescent="0.3">
      <c r="A44" s="5">
        <v>9</v>
      </c>
      <c r="B44" s="5">
        <v>2023</v>
      </c>
      <c r="C44" s="5" t="s">
        <v>65</v>
      </c>
      <c r="D44" s="5">
        <v>25372</v>
      </c>
      <c r="E44" s="5">
        <v>5286</v>
      </c>
      <c r="F44" s="5">
        <v>1554214</v>
      </c>
      <c r="G44" s="5">
        <v>10.6</v>
      </c>
      <c r="H44" s="5">
        <v>13.8</v>
      </c>
      <c r="I44" s="5">
        <v>87400</v>
      </c>
    </row>
    <row r="45" spans="1:9" x14ac:dyDescent="0.3">
      <c r="A45" s="5">
        <v>9</v>
      </c>
      <c r="B45" s="5">
        <v>2024</v>
      </c>
      <c r="C45" s="5" t="s">
        <v>65</v>
      </c>
      <c r="D45" s="5">
        <v>26793</v>
      </c>
      <c r="E45" s="5">
        <v>5306</v>
      </c>
      <c r="F45" s="5">
        <v>1516599</v>
      </c>
      <c r="G45" s="5">
        <v>10.5</v>
      </c>
      <c r="H45" s="5">
        <v>13.6</v>
      </c>
      <c r="I45" s="5">
        <v>90000</v>
      </c>
    </row>
    <row r="46" spans="1:9" x14ac:dyDescent="0.3">
      <c r="A46" s="5">
        <v>9</v>
      </c>
      <c r="B46" s="5">
        <v>2025</v>
      </c>
      <c r="C46" s="5" t="s">
        <v>65</v>
      </c>
      <c r="D46" s="5">
        <v>29140</v>
      </c>
      <c r="E46" s="5">
        <v>6175</v>
      </c>
      <c r="F46" s="5">
        <v>1600000</v>
      </c>
      <c r="G46" s="5">
        <v>11.3</v>
      </c>
      <c r="H46" s="5">
        <v>14.3</v>
      </c>
      <c r="I46" s="5">
        <v>92000</v>
      </c>
    </row>
    <row r="47" spans="1:9" x14ac:dyDescent="0.3">
      <c r="A47" s="5">
        <v>10</v>
      </c>
      <c r="B47" s="5">
        <v>2021</v>
      </c>
      <c r="C47" s="5" t="s">
        <v>36</v>
      </c>
      <c r="D47" s="5">
        <v>36818</v>
      </c>
      <c r="E47" s="5">
        <v>7457</v>
      </c>
      <c r="F47" s="5">
        <v>1131407</v>
      </c>
      <c r="G47" s="5">
        <v>13.9</v>
      </c>
      <c r="H47" s="5">
        <v>14.9</v>
      </c>
      <c r="I47" s="5">
        <v>71224</v>
      </c>
    </row>
    <row r="48" spans="1:9" x14ac:dyDescent="0.3">
      <c r="A48" s="5">
        <v>10</v>
      </c>
      <c r="B48" s="5">
        <v>2022</v>
      </c>
      <c r="C48" s="5" t="s">
        <v>36</v>
      </c>
      <c r="D48" s="5">
        <v>35728</v>
      </c>
      <c r="E48" s="5">
        <v>7626</v>
      </c>
      <c r="F48" s="5">
        <v>1104369</v>
      </c>
      <c r="G48" s="5">
        <v>14.3</v>
      </c>
      <c r="H48" s="5">
        <v>14.2</v>
      </c>
      <c r="I48" s="5">
        <v>72142</v>
      </c>
    </row>
    <row r="49" spans="1:9" x14ac:dyDescent="0.3">
      <c r="A49" s="5">
        <v>10</v>
      </c>
      <c r="B49" s="5">
        <v>2023</v>
      </c>
      <c r="C49" s="5" t="s">
        <v>36</v>
      </c>
      <c r="D49" s="5">
        <v>43723</v>
      </c>
      <c r="E49" s="5">
        <v>29027</v>
      </c>
      <c r="F49" s="5">
        <v>1717604</v>
      </c>
      <c r="G49" s="5">
        <v>13</v>
      </c>
      <c r="H49" s="5">
        <v>14.4</v>
      </c>
      <c r="I49" s="5">
        <v>119406</v>
      </c>
    </row>
    <row r="50" spans="1:9" x14ac:dyDescent="0.3">
      <c r="A50" s="5">
        <v>10</v>
      </c>
      <c r="B50" s="5">
        <v>2024</v>
      </c>
      <c r="C50" s="5" t="s">
        <v>36</v>
      </c>
      <c r="D50" s="5">
        <v>48565</v>
      </c>
      <c r="E50" s="5">
        <v>5092</v>
      </c>
      <c r="F50" s="5">
        <v>1689439</v>
      </c>
      <c r="G50" s="5">
        <v>7.1</v>
      </c>
      <c r="H50" s="5">
        <v>14.3</v>
      </c>
      <c r="I50" s="5">
        <v>109946</v>
      </c>
    </row>
    <row r="51" spans="1:9" x14ac:dyDescent="0.3">
      <c r="A51" s="5">
        <v>10</v>
      </c>
      <c r="B51" s="5">
        <v>2025</v>
      </c>
      <c r="C51" s="5" t="s">
        <v>36</v>
      </c>
      <c r="D51" s="5">
        <v>50500</v>
      </c>
      <c r="E51" s="5">
        <v>7767</v>
      </c>
      <c r="F51" s="5">
        <v>1700000</v>
      </c>
      <c r="G51" s="5">
        <v>10.8</v>
      </c>
      <c r="H51" s="5">
        <v>14.4</v>
      </c>
      <c r="I51" s="5">
        <v>108000</v>
      </c>
    </row>
    <row r="52" spans="1:9" x14ac:dyDescent="0.3">
      <c r="A52" s="5">
        <v>11</v>
      </c>
      <c r="B52" s="5">
        <v>2021</v>
      </c>
      <c r="C52" s="5" t="s">
        <v>52</v>
      </c>
      <c r="D52" s="5">
        <v>25798</v>
      </c>
      <c r="E52" s="5">
        <v>5641</v>
      </c>
      <c r="F52" s="5">
        <v>1464735</v>
      </c>
      <c r="G52" s="5">
        <v>10</v>
      </c>
      <c r="H52" s="5">
        <v>13.7</v>
      </c>
      <c r="I52" s="5">
        <v>117000</v>
      </c>
    </row>
    <row r="53" spans="1:9" x14ac:dyDescent="0.3">
      <c r="A53" s="5">
        <v>11</v>
      </c>
      <c r="B53" s="5">
        <v>2022</v>
      </c>
      <c r="C53" s="5" t="s">
        <v>52</v>
      </c>
      <c r="D53" s="5">
        <v>27155</v>
      </c>
      <c r="E53" s="5">
        <v>1825</v>
      </c>
      <c r="F53" s="5">
        <v>1531168</v>
      </c>
      <c r="G53" s="5">
        <v>2.9</v>
      </c>
      <c r="H53" s="5">
        <v>12.9</v>
      </c>
      <c r="I53" s="5">
        <v>117000</v>
      </c>
    </row>
    <row r="54" spans="1:9" x14ac:dyDescent="0.3">
      <c r="A54" s="5">
        <v>11</v>
      </c>
      <c r="B54" s="5">
        <v>2023</v>
      </c>
      <c r="C54" s="5" t="s">
        <v>52</v>
      </c>
      <c r="D54" s="5">
        <v>25104</v>
      </c>
      <c r="E54" s="5">
        <v>2493</v>
      </c>
      <c r="F54" s="5">
        <v>1495177</v>
      </c>
      <c r="G54" s="5">
        <v>3.8</v>
      </c>
      <c r="H54" s="5">
        <v>13.1</v>
      </c>
      <c r="I54" s="5">
        <v>119000</v>
      </c>
    </row>
    <row r="55" spans="1:9" x14ac:dyDescent="0.3">
      <c r="A55" s="5">
        <v>11</v>
      </c>
      <c r="B55" s="5">
        <v>2024</v>
      </c>
      <c r="C55" s="5" t="s">
        <v>52</v>
      </c>
      <c r="D55" s="5">
        <v>26788</v>
      </c>
      <c r="E55" s="5">
        <v>4204</v>
      </c>
      <c r="F55" s="5">
        <v>1480000</v>
      </c>
      <c r="G55" s="5">
        <v>6.8</v>
      </c>
      <c r="H55" s="5">
        <v>13.3</v>
      </c>
      <c r="I55" s="5">
        <v>86000</v>
      </c>
    </row>
    <row r="56" spans="1:9" x14ac:dyDescent="0.3">
      <c r="A56" s="5">
        <v>11</v>
      </c>
      <c r="B56" s="5">
        <v>2025</v>
      </c>
      <c r="C56" s="5" t="s">
        <v>52</v>
      </c>
      <c r="D56" s="5">
        <v>27254</v>
      </c>
      <c r="E56" s="5">
        <v>6000</v>
      </c>
      <c r="F56" s="5">
        <v>1500000</v>
      </c>
      <c r="G56" s="5">
        <v>10.199999999999999</v>
      </c>
      <c r="H56" s="5">
        <v>13.5</v>
      </c>
      <c r="I56" s="5">
        <v>82000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8" customWidth="1"/>
    <col min="2" max="2" width="20" customWidth="1"/>
    <col min="3" max="3" width="8" customWidth="1"/>
    <col min="4" max="4" width="10" customWidth="1"/>
    <col min="5" max="6" width="16" customWidth="1"/>
    <col min="7" max="8" width="14" customWidth="1"/>
    <col min="9" max="9" width="15" customWidth="1"/>
    <col min="10" max="10" width="13" customWidth="1"/>
    <col min="11" max="12" width="10" customWidth="1"/>
    <col min="13" max="13" width="4" customWidth="1"/>
    <col min="14" max="14" width="100" customWidth="1"/>
  </cols>
  <sheetData>
    <row r="1" spans="1:14" x14ac:dyDescent="0.3">
      <c r="A1" s="4" t="s">
        <v>22</v>
      </c>
      <c r="B1" s="4" t="s">
        <v>23</v>
      </c>
      <c r="C1" s="4" t="s">
        <v>72</v>
      </c>
      <c r="D1" s="4" t="s">
        <v>76</v>
      </c>
      <c r="E1" s="4" t="s">
        <v>84</v>
      </c>
      <c r="F1" s="4" t="s">
        <v>85</v>
      </c>
      <c r="G1" s="4" t="s">
        <v>86</v>
      </c>
      <c r="H1" s="4" t="s">
        <v>87</v>
      </c>
      <c r="I1" s="4" t="s">
        <v>88</v>
      </c>
      <c r="J1" s="4" t="s">
        <v>89</v>
      </c>
      <c r="K1" s="4" t="s">
        <v>80</v>
      </c>
      <c r="L1" s="4" t="s">
        <v>81</v>
      </c>
      <c r="N1" s="6" t="s">
        <v>90</v>
      </c>
    </row>
    <row r="2" spans="1:14" x14ac:dyDescent="0.3">
      <c r="A2" s="7">
        <f>Financials_Raw!A2</f>
        <v>1</v>
      </c>
      <c r="B2" s="7" t="str">
        <f>VLOOKUP(A2,Banks!$A:$B,2,FALSE())</f>
        <v>JPMorgan Chase</v>
      </c>
      <c r="C2" s="7">
        <f>Financials_Raw!B2</f>
        <v>2021</v>
      </c>
      <c r="D2" s="7" t="str">
        <f>Financials_Raw!C2</f>
        <v>USD</v>
      </c>
      <c r="E2" s="7">
        <f>Financials_Raw!D2</f>
        <v>121640</v>
      </c>
      <c r="F2" s="7">
        <f>Financials_Raw!E2</f>
        <v>48334</v>
      </c>
      <c r="G2" s="8">
        <f>IF(D2="USD",1,IF(D2="EUR",VLOOKUP(C2,FX_Rates!$A:$C,2,FALSE()),VLOOKUP(C2,FX_Rates!$A:$C,3,FALSE())))</f>
        <v>1</v>
      </c>
      <c r="H2" s="9">
        <f t="shared" ref="H2:H33" si="0">E2*G2</f>
        <v>121640</v>
      </c>
      <c r="I2" s="9">
        <f t="shared" ref="I2:I33" si="1">F2*G2</f>
        <v>48334</v>
      </c>
      <c r="J2" s="10">
        <f t="shared" ref="J2:J33" si="2">IF(H2=0,0,I2/H2*100)</f>
        <v>39.735284445905947</v>
      </c>
      <c r="K2" s="7">
        <f>Financials_Raw!G2</f>
        <v>23</v>
      </c>
      <c r="L2" s="7">
        <f>Financials_Raw!H2</f>
        <v>13.1</v>
      </c>
    </row>
    <row r="3" spans="1:14" x14ac:dyDescent="0.3">
      <c r="A3" s="7">
        <f>Financials_Raw!A3</f>
        <v>1</v>
      </c>
      <c r="B3" s="7" t="str">
        <f>VLOOKUP(A3,Banks!$A:$B,2,FALSE())</f>
        <v>JPMorgan Chase</v>
      </c>
      <c r="C3" s="7">
        <f>Financials_Raw!B3</f>
        <v>2022</v>
      </c>
      <c r="D3" s="7" t="str">
        <f>Financials_Raw!C3</f>
        <v>USD</v>
      </c>
      <c r="E3" s="7">
        <f>Financials_Raw!D3</f>
        <v>128695</v>
      </c>
      <c r="F3" s="7">
        <f>Financials_Raw!E3</f>
        <v>37676</v>
      </c>
      <c r="G3" s="8">
        <f>IF(D3="USD",1,IF(D3="EUR",VLOOKUP(C3,FX_Rates!$A:$C,2,FALSE()),VLOOKUP(C3,FX_Rates!$A:$C,3,FALSE())))</f>
        <v>1</v>
      </c>
      <c r="H3" s="9">
        <f t="shared" si="0"/>
        <v>128695</v>
      </c>
      <c r="I3" s="9">
        <f t="shared" si="1"/>
        <v>37676</v>
      </c>
      <c r="J3" s="10">
        <f t="shared" si="2"/>
        <v>29.275418625432227</v>
      </c>
      <c r="K3" s="7">
        <f>Financials_Raw!G3</f>
        <v>18</v>
      </c>
      <c r="L3" s="7">
        <f>Financials_Raw!H3</f>
        <v>12.5</v>
      </c>
    </row>
    <row r="4" spans="1:14" x14ac:dyDescent="0.3">
      <c r="A4" s="7">
        <f>Financials_Raw!A4</f>
        <v>1</v>
      </c>
      <c r="B4" s="7" t="str">
        <f>VLOOKUP(A4,Banks!$A:$B,2,FALSE())</f>
        <v>JPMorgan Chase</v>
      </c>
      <c r="C4" s="7">
        <f>Financials_Raw!B4</f>
        <v>2023</v>
      </c>
      <c r="D4" s="7" t="str">
        <f>Financials_Raw!C4</f>
        <v>USD</v>
      </c>
      <c r="E4" s="7">
        <f>Financials_Raw!D4</f>
        <v>158104</v>
      </c>
      <c r="F4" s="7">
        <f>Financials_Raw!E4</f>
        <v>49552</v>
      </c>
      <c r="G4" s="8">
        <f>IF(D4="USD",1,IF(D4="EUR",VLOOKUP(C4,FX_Rates!$A:$C,2,FALSE()),VLOOKUP(C4,FX_Rates!$A:$C,3,FALSE())))</f>
        <v>1</v>
      </c>
      <c r="H4" s="9">
        <f t="shared" si="0"/>
        <v>158104</v>
      </c>
      <c r="I4" s="9">
        <f t="shared" si="1"/>
        <v>49552</v>
      </c>
      <c r="J4" s="10">
        <f t="shared" si="2"/>
        <v>31.341395537114806</v>
      </c>
      <c r="K4" s="7">
        <f>Financials_Raw!G4</f>
        <v>19</v>
      </c>
      <c r="L4" s="7">
        <f>Financials_Raw!H4</f>
        <v>15</v>
      </c>
    </row>
    <row r="5" spans="1:14" x14ac:dyDescent="0.3">
      <c r="A5" s="7">
        <f>Financials_Raw!A5</f>
        <v>1</v>
      </c>
      <c r="B5" s="7" t="str">
        <f>VLOOKUP(A5,Banks!$A:$B,2,FALSE())</f>
        <v>JPMorgan Chase</v>
      </c>
      <c r="C5" s="7">
        <f>Financials_Raw!B5</f>
        <v>2024</v>
      </c>
      <c r="D5" s="7" t="str">
        <f>Financials_Raw!C5</f>
        <v>USD</v>
      </c>
      <c r="E5" s="7">
        <f>Financials_Raw!D5</f>
        <v>177556</v>
      </c>
      <c r="F5" s="7">
        <f>Financials_Raw!E5</f>
        <v>58471</v>
      </c>
      <c r="G5" s="8">
        <f>IF(D5="USD",1,IF(D5="EUR",VLOOKUP(C5,FX_Rates!$A:$C,2,FALSE()),VLOOKUP(C5,FX_Rates!$A:$C,3,FALSE())))</f>
        <v>1</v>
      </c>
      <c r="H5" s="9">
        <f t="shared" si="0"/>
        <v>177556</v>
      </c>
      <c r="I5" s="9">
        <f t="shared" si="1"/>
        <v>58471</v>
      </c>
      <c r="J5" s="10">
        <f t="shared" si="2"/>
        <v>32.931018946135303</v>
      </c>
      <c r="K5" s="7">
        <f>Financials_Raw!G5</f>
        <v>21</v>
      </c>
      <c r="L5" s="7">
        <f>Financials_Raw!H5</f>
        <v>15.3</v>
      </c>
    </row>
    <row r="6" spans="1:14" x14ac:dyDescent="0.3">
      <c r="A6" s="7">
        <f>Financials_Raw!A6</f>
        <v>1</v>
      </c>
      <c r="B6" s="7" t="str">
        <f>VLOOKUP(A6,Banks!$A:$B,2,FALSE())</f>
        <v>JPMorgan Chase</v>
      </c>
      <c r="C6" s="7">
        <f>Financials_Raw!B6</f>
        <v>2025</v>
      </c>
      <c r="D6" s="7" t="str">
        <f>Financials_Raw!C6</f>
        <v>USD</v>
      </c>
      <c r="E6" s="7">
        <f>Financials_Raw!D6</f>
        <v>185600</v>
      </c>
      <c r="F6" s="7">
        <f>Financials_Raw!E6</f>
        <v>57048</v>
      </c>
      <c r="G6" s="8">
        <f>IF(D6="USD",1,IF(D6="EUR",VLOOKUP(C6,FX_Rates!$A:$C,2,FALSE()),VLOOKUP(C6,FX_Rates!$A:$C,3,FALSE())))</f>
        <v>1</v>
      </c>
      <c r="H6" s="9">
        <f t="shared" si="0"/>
        <v>185600</v>
      </c>
      <c r="I6" s="9">
        <f t="shared" si="1"/>
        <v>57048</v>
      </c>
      <c r="J6" s="10">
        <f t="shared" si="2"/>
        <v>30.737068965517238</v>
      </c>
      <c r="K6" s="7">
        <f>Financials_Raw!G6</f>
        <v>17</v>
      </c>
      <c r="L6" s="7">
        <f>Financials_Raw!H6</f>
        <v>14.5</v>
      </c>
    </row>
    <row r="7" spans="1:14" x14ac:dyDescent="0.3">
      <c r="A7" s="7">
        <f>Financials_Raw!A7</f>
        <v>2</v>
      </c>
      <c r="B7" s="7" t="str">
        <f>VLOOKUP(A7,Banks!$A:$B,2,FALSE())</f>
        <v>Bank of America</v>
      </c>
      <c r="C7" s="7">
        <f>Financials_Raw!B7</f>
        <v>2021</v>
      </c>
      <c r="D7" s="7" t="str">
        <f>Financials_Raw!C7</f>
        <v>USD</v>
      </c>
      <c r="E7" s="7">
        <f>Financials_Raw!D7</f>
        <v>89113</v>
      </c>
      <c r="F7" s="7">
        <f>Financials_Raw!E7</f>
        <v>31978</v>
      </c>
      <c r="G7" s="8">
        <f>IF(D7="USD",1,IF(D7="EUR",VLOOKUP(C7,FX_Rates!$A:$C,2,FALSE()),VLOOKUP(C7,FX_Rates!$A:$C,3,FALSE())))</f>
        <v>1</v>
      </c>
      <c r="H7" s="9">
        <f t="shared" si="0"/>
        <v>89113</v>
      </c>
      <c r="I7" s="9">
        <f t="shared" si="1"/>
        <v>31978</v>
      </c>
      <c r="J7" s="10">
        <f t="shared" si="2"/>
        <v>35.884775509746056</v>
      </c>
      <c r="K7" s="7">
        <f>Financials_Raw!G7</f>
        <v>11</v>
      </c>
      <c r="L7" s="7">
        <f>Financials_Raw!H7</f>
        <v>10.6</v>
      </c>
    </row>
    <row r="8" spans="1:14" x14ac:dyDescent="0.3">
      <c r="A8" s="7">
        <f>Financials_Raw!A8</f>
        <v>2</v>
      </c>
      <c r="B8" s="7" t="str">
        <f>VLOOKUP(A8,Banks!$A:$B,2,FALSE())</f>
        <v>Bank of America</v>
      </c>
      <c r="C8" s="7">
        <f>Financials_Raw!B8</f>
        <v>2022</v>
      </c>
      <c r="D8" s="7" t="str">
        <f>Financials_Raw!C8</f>
        <v>USD</v>
      </c>
      <c r="E8" s="7">
        <f>Financials_Raw!D8</f>
        <v>94951</v>
      </c>
      <c r="F8" s="7">
        <f>Financials_Raw!E8</f>
        <v>27528</v>
      </c>
      <c r="G8" s="8">
        <f>IF(D8="USD",1,IF(D8="EUR",VLOOKUP(C8,FX_Rates!$A:$C,2,FALSE()),VLOOKUP(C8,FX_Rates!$A:$C,3,FALSE())))</f>
        <v>1</v>
      </c>
      <c r="H8" s="9">
        <f t="shared" si="0"/>
        <v>94951</v>
      </c>
      <c r="I8" s="9">
        <f t="shared" si="1"/>
        <v>27528</v>
      </c>
      <c r="J8" s="10">
        <f t="shared" si="2"/>
        <v>28.991795768343671</v>
      </c>
      <c r="K8" s="7">
        <f>Financials_Raw!G8</f>
        <v>10</v>
      </c>
      <c r="L8" s="7">
        <f>Financials_Raw!H8</f>
        <v>11.2</v>
      </c>
    </row>
    <row r="9" spans="1:14" x14ac:dyDescent="0.3">
      <c r="A9" s="7">
        <f>Financials_Raw!A9</f>
        <v>2</v>
      </c>
      <c r="B9" s="7" t="str">
        <f>VLOOKUP(A9,Banks!$A:$B,2,FALSE())</f>
        <v>Bank of America</v>
      </c>
      <c r="C9" s="7">
        <f>Financials_Raw!B9</f>
        <v>2023</v>
      </c>
      <c r="D9" s="7" t="str">
        <f>Financials_Raw!C9</f>
        <v>USD</v>
      </c>
      <c r="E9" s="7">
        <f>Financials_Raw!D9</f>
        <v>98571</v>
      </c>
      <c r="F9" s="7">
        <f>Financials_Raw!E9</f>
        <v>26515</v>
      </c>
      <c r="G9" s="8">
        <f>IF(D9="USD",1,IF(D9="EUR",VLOOKUP(C9,FX_Rates!$A:$C,2,FALSE()),VLOOKUP(C9,FX_Rates!$A:$C,3,FALSE())))</f>
        <v>1</v>
      </c>
      <c r="H9" s="9">
        <f t="shared" si="0"/>
        <v>98571</v>
      </c>
      <c r="I9" s="9">
        <f t="shared" si="1"/>
        <v>26515</v>
      </c>
      <c r="J9" s="10">
        <f t="shared" si="2"/>
        <v>26.89939231619848</v>
      </c>
      <c r="K9" s="7">
        <f>Financials_Raw!G9</f>
        <v>8.8000000000000007</v>
      </c>
      <c r="L9" s="7">
        <f>Financials_Raw!H9</f>
        <v>11.8</v>
      </c>
    </row>
    <row r="10" spans="1:14" x14ac:dyDescent="0.3">
      <c r="A10" s="7">
        <f>Financials_Raw!A10</f>
        <v>2</v>
      </c>
      <c r="B10" s="7" t="str">
        <f>VLOOKUP(A10,Banks!$A:$B,2,FALSE())</f>
        <v>Bank of America</v>
      </c>
      <c r="C10" s="7">
        <f>Financials_Raw!B10</f>
        <v>2024</v>
      </c>
      <c r="D10" s="7" t="str">
        <f>Financials_Raw!C10</f>
        <v>USD</v>
      </c>
      <c r="E10" s="7">
        <f>Financials_Raw!D10</f>
        <v>105648</v>
      </c>
      <c r="F10" s="7">
        <f>Financials_Raw!E10</f>
        <v>27000</v>
      </c>
      <c r="G10" s="8">
        <f>IF(D10="USD",1,IF(D10="EUR",VLOOKUP(C10,FX_Rates!$A:$C,2,FALSE()),VLOOKUP(C10,FX_Rates!$A:$C,3,FALSE())))</f>
        <v>1</v>
      </c>
      <c r="H10" s="9">
        <f t="shared" si="0"/>
        <v>105648</v>
      </c>
      <c r="I10" s="9">
        <f t="shared" si="1"/>
        <v>27000</v>
      </c>
      <c r="J10" s="10">
        <f t="shared" si="2"/>
        <v>25.556565197637436</v>
      </c>
      <c r="K10" s="7">
        <f>Financials_Raw!G10</f>
        <v>9.3000000000000007</v>
      </c>
      <c r="L10" s="7">
        <f>Financials_Raw!H10</f>
        <v>11.9</v>
      </c>
    </row>
    <row r="11" spans="1:14" x14ac:dyDescent="0.3">
      <c r="A11" s="7">
        <f>Financials_Raw!A11</f>
        <v>2</v>
      </c>
      <c r="B11" s="7" t="str">
        <f>VLOOKUP(A11,Banks!$A:$B,2,FALSE())</f>
        <v>Bank of America</v>
      </c>
      <c r="C11" s="7">
        <f>Financials_Raw!B11</f>
        <v>2025</v>
      </c>
      <c r="D11" s="7" t="str">
        <f>Financials_Raw!C11</f>
        <v>USD</v>
      </c>
      <c r="E11" s="7">
        <f>Financials_Raw!D11</f>
        <v>113100</v>
      </c>
      <c r="F11" s="7">
        <f>Financials_Raw!E11</f>
        <v>30500</v>
      </c>
      <c r="G11" s="8">
        <f>IF(D11="USD",1,IF(D11="EUR",VLOOKUP(C11,FX_Rates!$A:$C,2,FALSE()),VLOOKUP(C11,FX_Rates!$A:$C,3,FALSE())))</f>
        <v>1</v>
      </c>
      <c r="H11" s="9">
        <f t="shared" si="0"/>
        <v>113100</v>
      </c>
      <c r="I11" s="9">
        <f t="shared" si="1"/>
        <v>30500</v>
      </c>
      <c r="J11" s="10">
        <f t="shared" si="2"/>
        <v>26.967285587975244</v>
      </c>
      <c r="K11" s="7">
        <f>Financials_Raw!G11</f>
        <v>10.199999999999999</v>
      </c>
      <c r="L11" s="7">
        <f>Financials_Raw!H11</f>
        <v>11.7</v>
      </c>
    </row>
    <row r="12" spans="1:14" x14ac:dyDescent="0.3">
      <c r="A12" s="7">
        <f>Financials_Raw!A12</f>
        <v>3</v>
      </c>
      <c r="B12" s="7" t="str">
        <f>VLOOKUP(A12,Banks!$A:$B,2,FALSE())</f>
        <v>Citigroup</v>
      </c>
      <c r="C12" s="7">
        <f>Financials_Raw!B12</f>
        <v>2021</v>
      </c>
      <c r="D12" s="7" t="str">
        <f>Financials_Raw!C12</f>
        <v>USD</v>
      </c>
      <c r="E12" s="7">
        <f>Financials_Raw!D12</f>
        <v>71884</v>
      </c>
      <c r="F12" s="7">
        <f>Financials_Raw!E12</f>
        <v>21952</v>
      </c>
      <c r="G12" s="8">
        <f>IF(D12="USD",1,IF(D12="EUR",VLOOKUP(C12,FX_Rates!$A:$C,2,FALSE()),VLOOKUP(C12,FX_Rates!$A:$C,3,FALSE())))</f>
        <v>1</v>
      </c>
      <c r="H12" s="9">
        <f t="shared" si="0"/>
        <v>71884</v>
      </c>
      <c r="I12" s="9">
        <f t="shared" si="1"/>
        <v>21952</v>
      </c>
      <c r="J12" s="10">
        <f t="shared" si="2"/>
        <v>30.538089143620279</v>
      </c>
      <c r="K12" s="7">
        <f>Financials_Raw!G12</f>
        <v>9.5</v>
      </c>
      <c r="L12" s="7">
        <f>Financials_Raw!H12</f>
        <v>12.2</v>
      </c>
    </row>
    <row r="13" spans="1:14" x14ac:dyDescent="0.3">
      <c r="A13" s="7">
        <f>Financials_Raw!A13</f>
        <v>3</v>
      </c>
      <c r="B13" s="7" t="str">
        <f>VLOOKUP(A13,Banks!$A:$B,2,FALSE())</f>
        <v>Citigroup</v>
      </c>
      <c r="C13" s="7">
        <f>Financials_Raw!B13</f>
        <v>2022</v>
      </c>
      <c r="D13" s="7" t="str">
        <f>Financials_Raw!C13</f>
        <v>USD</v>
      </c>
      <c r="E13" s="7">
        <f>Financials_Raw!D13</f>
        <v>75338</v>
      </c>
      <c r="F13" s="7">
        <f>Financials_Raw!E13</f>
        <v>14845</v>
      </c>
      <c r="G13" s="8">
        <f>IF(D13="USD",1,IF(D13="EUR",VLOOKUP(C13,FX_Rates!$A:$C,2,FALSE()),VLOOKUP(C13,FX_Rates!$A:$C,3,FALSE())))</f>
        <v>1</v>
      </c>
      <c r="H13" s="9">
        <f t="shared" si="0"/>
        <v>75338</v>
      </c>
      <c r="I13" s="9">
        <f t="shared" si="1"/>
        <v>14845</v>
      </c>
      <c r="J13" s="10">
        <f t="shared" si="2"/>
        <v>19.704531577689878</v>
      </c>
      <c r="K13" s="7">
        <f>Financials_Raw!G13</f>
        <v>6</v>
      </c>
      <c r="L13" s="7">
        <f>Financials_Raw!H13</f>
        <v>13</v>
      </c>
    </row>
    <row r="14" spans="1:14" x14ac:dyDescent="0.3">
      <c r="A14" s="7">
        <f>Financials_Raw!A14</f>
        <v>3</v>
      </c>
      <c r="B14" s="7" t="str">
        <f>VLOOKUP(A14,Banks!$A:$B,2,FALSE())</f>
        <v>Citigroup</v>
      </c>
      <c r="C14" s="7">
        <f>Financials_Raw!B14</f>
        <v>2023</v>
      </c>
      <c r="D14" s="7" t="str">
        <f>Financials_Raw!C14</f>
        <v>USD</v>
      </c>
      <c r="E14" s="7">
        <f>Financials_Raw!D14</f>
        <v>78462</v>
      </c>
      <c r="F14" s="7">
        <f>Financials_Raw!E14</f>
        <v>9227</v>
      </c>
      <c r="G14" s="8">
        <f>IF(D14="USD",1,IF(D14="EUR",VLOOKUP(C14,FX_Rates!$A:$C,2,FALSE()),VLOOKUP(C14,FX_Rates!$A:$C,3,FALSE())))</f>
        <v>1</v>
      </c>
      <c r="H14" s="9">
        <f t="shared" si="0"/>
        <v>78462</v>
      </c>
      <c r="I14" s="9">
        <f t="shared" si="1"/>
        <v>9227</v>
      </c>
      <c r="J14" s="10">
        <f t="shared" si="2"/>
        <v>11.759832785297341</v>
      </c>
      <c r="K14" s="7">
        <f>Financials_Raw!G14</f>
        <v>4</v>
      </c>
      <c r="L14" s="7">
        <f>Financials_Raw!H14</f>
        <v>13.4</v>
      </c>
    </row>
    <row r="15" spans="1:14" x14ac:dyDescent="0.3">
      <c r="A15" s="7">
        <f>Financials_Raw!A15</f>
        <v>3</v>
      </c>
      <c r="B15" s="7" t="str">
        <f>VLOOKUP(A15,Banks!$A:$B,2,FALSE())</f>
        <v>Citigroup</v>
      </c>
      <c r="C15" s="7">
        <f>Financials_Raw!B15</f>
        <v>2024</v>
      </c>
      <c r="D15" s="7" t="str">
        <f>Financials_Raw!C15</f>
        <v>USD</v>
      </c>
      <c r="E15" s="7">
        <f>Financials_Raw!D15</f>
        <v>80707</v>
      </c>
      <c r="F15" s="7">
        <f>Financials_Raw!E15</f>
        <v>12700</v>
      </c>
      <c r="G15" s="8">
        <f>IF(D15="USD",1,IF(D15="EUR",VLOOKUP(C15,FX_Rates!$A:$C,2,FALSE()),VLOOKUP(C15,FX_Rates!$A:$C,3,FALSE())))</f>
        <v>1</v>
      </c>
      <c r="H15" s="9">
        <f t="shared" si="0"/>
        <v>80707</v>
      </c>
      <c r="I15" s="9">
        <f t="shared" si="1"/>
        <v>12700</v>
      </c>
      <c r="J15" s="10">
        <f t="shared" si="2"/>
        <v>15.735933686049538</v>
      </c>
      <c r="K15" s="7">
        <f>Financials_Raw!G15</f>
        <v>6.1</v>
      </c>
      <c r="L15" s="7">
        <f>Financials_Raw!H15</f>
        <v>13.6</v>
      </c>
    </row>
    <row r="16" spans="1:14" x14ac:dyDescent="0.3">
      <c r="A16" s="7">
        <f>Financials_Raw!A16</f>
        <v>3</v>
      </c>
      <c r="B16" s="7" t="str">
        <f>VLOOKUP(A16,Banks!$A:$B,2,FALSE())</f>
        <v>Citigroup</v>
      </c>
      <c r="C16" s="7">
        <f>Financials_Raw!B16</f>
        <v>2025</v>
      </c>
      <c r="D16" s="7" t="str">
        <f>Financials_Raw!C16</f>
        <v>USD</v>
      </c>
      <c r="E16" s="7">
        <f>Financials_Raw!D16</f>
        <v>85200</v>
      </c>
      <c r="F16" s="7">
        <f>Financials_Raw!E16</f>
        <v>14300</v>
      </c>
      <c r="G16" s="8">
        <f>IF(D16="USD",1,IF(D16="EUR",VLOOKUP(C16,FX_Rates!$A:$C,2,FALSE()),VLOOKUP(C16,FX_Rates!$A:$C,3,FALSE())))</f>
        <v>1</v>
      </c>
      <c r="H16" s="9">
        <f t="shared" si="0"/>
        <v>85200</v>
      </c>
      <c r="I16" s="9">
        <f t="shared" si="1"/>
        <v>14300</v>
      </c>
      <c r="J16" s="10">
        <f t="shared" si="2"/>
        <v>16.784037558685448</v>
      </c>
      <c r="K16" s="7">
        <f>Financials_Raw!G16</f>
        <v>6.8</v>
      </c>
      <c r="L16" s="7">
        <f>Financials_Raw!H16</f>
        <v>13.5</v>
      </c>
    </row>
    <row r="17" spans="1:12" x14ac:dyDescent="0.3">
      <c r="A17" s="7">
        <f>Financials_Raw!A17</f>
        <v>4</v>
      </c>
      <c r="B17" s="7" t="str">
        <f>VLOOKUP(A17,Banks!$A:$B,2,FALSE())</f>
        <v>Wells Fargo</v>
      </c>
      <c r="C17" s="7">
        <f>Financials_Raw!B17</f>
        <v>2021</v>
      </c>
      <c r="D17" s="7" t="str">
        <f>Financials_Raw!C17</f>
        <v>USD</v>
      </c>
      <c r="E17" s="7">
        <f>Financials_Raw!D17</f>
        <v>78492</v>
      </c>
      <c r="F17" s="7">
        <f>Financials_Raw!E17</f>
        <v>21548</v>
      </c>
      <c r="G17" s="8">
        <f>IF(D17="USD",1,IF(D17="EUR",VLOOKUP(C17,FX_Rates!$A:$C,2,FALSE()),VLOOKUP(C17,FX_Rates!$A:$C,3,FALSE())))</f>
        <v>1</v>
      </c>
      <c r="H17" s="9">
        <f t="shared" si="0"/>
        <v>78492</v>
      </c>
      <c r="I17" s="9">
        <f t="shared" si="1"/>
        <v>21548</v>
      </c>
      <c r="J17" s="10">
        <f t="shared" si="2"/>
        <v>27.452479233552463</v>
      </c>
      <c r="K17" s="7">
        <f>Financials_Raw!G17</f>
        <v>10.5</v>
      </c>
      <c r="L17" s="7">
        <f>Financials_Raw!H17</f>
        <v>11</v>
      </c>
    </row>
    <row r="18" spans="1:12" x14ac:dyDescent="0.3">
      <c r="A18" s="7">
        <f>Financials_Raw!A18</f>
        <v>4</v>
      </c>
      <c r="B18" s="7" t="str">
        <f>VLOOKUP(A18,Banks!$A:$B,2,FALSE())</f>
        <v>Wells Fargo</v>
      </c>
      <c r="C18" s="7">
        <f>Financials_Raw!B18</f>
        <v>2022</v>
      </c>
      <c r="D18" s="7" t="str">
        <f>Financials_Raw!C18</f>
        <v>USD</v>
      </c>
      <c r="E18" s="7">
        <f>Financials_Raw!D18</f>
        <v>73785</v>
      </c>
      <c r="F18" s="7">
        <f>Financials_Raw!E18</f>
        <v>13166</v>
      </c>
      <c r="G18" s="8">
        <f>IF(D18="USD",1,IF(D18="EUR",VLOOKUP(C18,FX_Rates!$A:$C,2,FALSE()),VLOOKUP(C18,FX_Rates!$A:$C,3,FALSE())))</f>
        <v>1</v>
      </c>
      <c r="H18" s="9">
        <f t="shared" si="0"/>
        <v>73785</v>
      </c>
      <c r="I18" s="9">
        <f t="shared" si="1"/>
        <v>13166</v>
      </c>
      <c r="J18" s="10">
        <f t="shared" si="2"/>
        <v>17.843735176526394</v>
      </c>
      <c r="K18" s="7">
        <f>Financials_Raw!G18</f>
        <v>6.4</v>
      </c>
      <c r="L18" s="7">
        <f>Financials_Raw!H18</f>
        <v>10.8</v>
      </c>
    </row>
    <row r="19" spans="1:12" x14ac:dyDescent="0.3">
      <c r="A19" s="7">
        <f>Financials_Raw!A19</f>
        <v>4</v>
      </c>
      <c r="B19" s="7" t="str">
        <f>VLOOKUP(A19,Banks!$A:$B,2,FALSE())</f>
        <v>Wells Fargo</v>
      </c>
      <c r="C19" s="7">
        <f>Financials_Raw!B19</f>
        <v>2023</v>
      </c>
      <c r="D19" s="7" t="str">
        <f>Financials_Raw!C19</f>
        <v>USD</v>
      </c>
      <c r="E19" s="7">
        <f>Financials_Raw!D19</f>
        <v>82594</v>
      </c>
      <c r="F19" s="7">
        <f>Financials_Raw!E19</f>
        <v>19142</v>
      </c>
      <c r="G19" s="8">
        <f>IF(D19="USD",1,IF(D19="EUR",VLOOKUP(C19,FX_Rates!$A:$C,2,FALSE()),VLOOKUP(C19,FX_Rates!$A:$C,3,FALSE())))</f>
        <v>1</v>
      </c>
      <c r="H19" s="9">
        <f t="shared" si="0"/>
        <v>82594</v>
      </c>
      <c r="I19" s="9">
        <f t="shared" si="1"/>
        <v>19142</v>
      </c>
      <c r="J19" s="10">
        <f t="shared" si="2"/>
        <v>23.176017628399155</v>
      </c>
      <c r="K19" s="7">
        <f>Financials_Raw!G19</f>
        <v>10</v>
      </c>
      <c r="L19" s="7">
        <f>Financials_Raw!H19</f>
        <v>11.4</v>
      </c>
    </row>
    <row r="20" spans="1:12" x14ac:dyDescent="0.3">
      <c r="A20" s="7">
        <f>Financials_Raw!A20</f>
        <v>4</v>
      </c>
      <c r="B20" s="7" t="str">
        <f>VLOOKUP(A20,Banks!$A:$B,2,FALSE())</f>
        <v>Wells Fargo</v>
      </c>
      <c r="C20" s="7">
        <f>Financials_Raw!B20</f>
        <v>2024</v>
      </c>
      <c r="D20" s="7" t="str">
        <f>Financials_Raw!C20</f>
        <v>USD</v>
      </c>
      <c r="E20" s="7">
        <f>Financials_Raw!D20</f>
        <v>82300</v>
      </c>
      <c r="F20" s="7">
        <f>Financials_Raw!E20</f>
        <v>19696</v>
      </c>
      <c r="G20" s="8">
        <f>IF(D20="USD",1,IF(D20="EUR",VLOOKUP(C20,FX_Rates!$A:$C,2,FALSE()),VLOOKUP(C20,FX_Rates!$A:$C,3,FALSE())))</f>
        <v>1</v>
      </c>
      <c r="H20" s="9">
        <f t="shared" si="0"/>
        <v>82300</v>
      </c>
      <c r="I20" s="9">
        <f t="shared" si="1"/>
        <v>19696</v>
      </c>
      <c r="J20" s="10">
        <f t="shared" si="2"/>
        <v>23.931956257594166</v>
      </c>
      <c r="K20" s="7">
        <f>Financials_Raw!G20</f>
        <v>11.6</v>
      </c>
      <c r="L20" s="7">
        <f>Financials_Raw!H20</f>
        <v>11.1</v>
      </c>
    </row>
    <row r="21" spans="1:12" x14ac:dyDescent="0.3">
      <c r="A21" s="7">
        <f>Financials_Raw!A21</f>
        <v>4</v>
      </c>
      <c r="B21" s="7" t="str">
        <f>VLOOKUP(A21,Banks!$A:$B,2,FALSE())</f>
        <v>Wells Fargo</v>
      </c>
      <c r="C21" s="7">
        <f>Financials_Raw!B21</f>
        <v>2025</v>
      </c>
      <c r="D21" s="7" t="str">
        <f>Financials_Raw!C21</f>
        <v>USD</v>
      </c>
      <c r="E21" s="7">
        <f>Financials_Raw!D21</f>
        <v>83700</v>
      </c>
      <c r="F21" s="7">
        <f>Financials_Raw!E21</f>
        <v>21300</v>
      </c>
      <c r="G21" s="8">
        <f>IF(D21="USD",1,IF(D21="EUR",VLOOKUP(C21,FX_Rates!$A:$C,2,FALSE()),VLOOKUP(C21,FX_Rates!$A:$C,3,FALSE())))</f>
        <v>1</v>
      </c>
      <c r="H21" s="9">
        <f t="shared" si="0"/>
        <v>83700</v>
      </c>
      <c r="I21" s="9">
        <f t="shared" si="1"/>
        <v>21300</v>
      </c>
      <c r="J21" s="10">
        <f t="shared" si="2"/>
        <v>25.448028673835125</v>
      </c>
      <c r="K21" s="7">
        <f>Financials_Raw!G21</f>
        <v>12.3</v>
      </c>
      <c r="L21" s="7">
        <f>Financials_Raw!H21</f>
        <v>11.3</v>
      </c>
    </row>
    <row r="22" spans="1:12" x14ac:dyDescent="0.3">
      <c r="A22" s="7">
        <f>Financials_Raw!A22</f>
        <v>5</v>
      </c>
      <c r="B22" s="7" t="str">
        <f>VLOOKUP(A22,Banks!$A:$B,2,FALSE())</f>
        <v>Goldman Sachs</v>
      </c>
      <c r="C22" s="7">
        <f>Financials_Raw!B22</f>
        <v>2021</v>
      </c>
      <c r="D22" s="7" t="str">
        <f>Financials_Raw!C22</f>
        <v>USD</v>
      </c>
      <c r="E22" s="7">
        <f>Financials_Raw!D22</f>
        <v>59339</v>
      </c>
      <c r="F22" s="7">
        <f>Financials_Raw!E22</f>
        <v>21635</v>
      </c>
      <c r="G22" s="8">
        <f>IF(D22="USD",1,IF(D22="EUR",VLOOKUP(C22,FX_Rates!$A:$C,2,FALSE()),VLOOKUP(C22,FX_Rates!$A:$C,3,FALSE())))</f>
        <v>1</v>
      </c>
      <c r="H22" s="9">
        <f t="shared" si="0"/>
        <v>59339</v>
      </c>
      <c r="I22" s="9">
        <f t="shared" si="1"/>
        <v>21635</v>
      </c>
      <c r="J22" s="10">
        <f t="shared" si="2"/>
        <v>36.46000101113939</v>
      </c>
      <c r="K22" s="7">
        <f>Financials_Raw!G22</f>
        <v>23</v>
      </c>
      <c r="L22" s="7">
        <f>Financials_Raw!H22</f>
        <v>13.1</v>
      </c>
    </row>
    <row r="23" spans="1:12" x14ac:dyDescent="0.3">
      <c r="A23" s="7">
        <f>Financials_Raw!A23</f>
        <v>5</v>
      </c>
      <c r="B23" s="7" t="str">
        <f>VLOOKUP(A23,Banks!$A:$B,2,FALSE())</f>
        <v>Goldman Sachs</v>
      </c>
      <c r="C23" s="7">
        <f>Financials_Raw!B23</f>
        <v>2022</v>
      </c>
      <c r="D23" s="7" t="str">
        <f>Financials_Raw!C23</f>
        <v>USD</v>
      </c>
      <c r="E23" s="7">
        <f>Financials_Raw!D23</f>
        <v>47365</v>
      </c>
      <c r="F23" s="7">
        <f>Financials_Raw!E23</f>
        <v>11261</v>
      </c>
      <c r="G23" s="8">
        <f>IF(D23="USD",1,IF(D23="EUR",VLOOKUP(C23,FX_Rates!$A:$C,2,FALSE()),VLOOKUP(C23,FX_Rates!$A:$C,3,FALSE())))</f>
        <v>1</v>
      </c>
      <c r="H23" s="9">
        <f t="shared" si="0"/>
        <v>47365</v>
      </c>
      <c r="I23" s="9">
        <f t="shared" si="1"/>
        <v>11261</v>
      </c>
      <c r="J23" s="10">
        <f t="shared" si="2"/>
        <v>23.774939301171752</v>
      </c>
      <c r="K23" s="7">
        <f>Financials_Raw!G23</f>
        <v>10.199999999999999</v>
      </c>
      <c r="L23" s="7">
        <f>Financials_Raw!H23</f>
        <v>14</v>
      </c>
    </row>
    <row r="24" spans="1:12" x14ac:dyDescent="0.3">
      <c r="A24" s="7">
        <f>Financials_Raw!A24</f>
        <v>5</v>
      </c>
      <c r="B24" s="7" t="str">
        <f>VLOOKUP(A24,Banks!$A:$B,2,FALSE())</f>
        <v>Goldman Sachs</v>
      </c>
      <c r="C24" s="7">
        <f>Financials_Raw!B24</f>
        <v>2023</v>
      </c>
      <c r="D24" s="7" t="str">
        <f>Financials_Raw!C24</f>
        <v>USD</v>
      </c>
      <c r="E24" s="7">
        <f>Financials_Raw!D24</f>
        <v>46254</v>
      </c>
      <c r="F24" s="7">
        <f>Financials_Raw!E24</f>
        <v>8516</v>
      </c>
      <c r="G24" s="8">
        <f>IF(D24="USD",1,IF(D24="EUR",VLOOKUP(C24,FX_Rates!$A:$C,2,FALSE()),VLOOKUP(C24,FX_Rates!$A:$C,3,FALSE())))</f>
        <v>1</v>
      </c>
      <c r="H24" s="9">
        <f t="shared" si="0"/>
        <v>46254</v>
      </c>
      <c r="I24" s="9">
        <f t="shared" si="1"/>
        <v>8516</v>
      </c>
      <c r="J24" s="10">
        <f t="shared" si="2"/>
        <v>18.411380637350284</v>
      </c>
      <c r="K24" s="7">
        <f>Financials_Raw!G24</f>
        <v>7.5</v>
      </c>
      <c r="L24" s="7">
        <f>Financials_Raw!H24</f>
        <v>14.6</v>
      </c>
    </row>
    <row r="25" spans="1:12" x14ac:dyDescent="0.3">
      <c r="A25" s="7">
        <f>Financials_Raw!A25</f>
        <v>5</v>
      </c>
      <c r="B25" s="7" t="str">
        <f>VLOOKUP(A25,Banks!$A:$B,2,FALSE())</f>
        <v>Goldman Sachs</v>
      </c>
      <c r="C25" s="7">
        <f>Financials_Raw!B25</f>
        <v>2024</v>
      </c>
      <c r="D25" s="7" t="str">
        <f>Financials_Raw!C25</f>
        <v>USD</v>
      </c>
      <c r="E25" s="7">
        <f>Financials_Raw!D25</f>
        <v>53510</v>
      </c>
      <c r="F25" s="7">
        <f>Financials_Raw!E25</f>
        <v>14281</v>
      </c>
      <c r="G25" s="8">
        <f>IF(D25="USD",1,IF(D25="EUR",VLOOKUP(C25,FX_Rates!$A:$C,2,FALSE()),VLOOKUP(C25,FX_Rates!$A:$C,3,FALSE())))</f>
        <v>1</v>
      </c>
      <c r="H25" s="9">
        <f t="shared" si="0"/>
        <v>53510</v>
      </c>
      <c r="I25" s="9">
        <f t="shared" si="1"/>
        <v>14281</v>
      </c>
      <c r="J25" s="10">
        <f t="shared" si="2"/>
        <v>26.688469444963559</v>
      </c>
      <c r="K25" s="7">
        <f>Financials_Raw!G25</f>
        <v>12.7</v>
      </c>
      <c r="L25" s="7">
        <f>Financials_Raw!H25</f>
        <v>15</v>
      </c>
    </row>
    <row r="26" spans="1:12" x14ac:dyDescent="0.3">
      <c r="A26" s="7">
        <f>Financials_Raw!A26</f>
        <v>5</v>
      </c>
      <c r="B26" s="7" t="str">
        <f>VLOOKUP(A26,Banks!$A:$B,2,FALSE())</f>
        <v>Goldman Sachs</v>
      </c>
      <c r="C26" s="7">
        <f>Financials_Raw!B26</f>
        <v>2025</v>
      </c>
      <c r="D26" s="7" t="str">
        <f>Financials_Raw!C26</f>
        <v>USD</v>
      </c>
      <c r="E26" s="7">
        <f>Financials_Raw!D26</f>
        <v>58280</v>
      </c>
      <c r="F26" s="7">
        <f>Financials_Raw!E26</f>
        <v>17180</v>
      </c>
      <c r="G26" s="8">
        <f>IF(D26="USD",1,IF(D26="EUR",VLOOKUP(C26,FX_Rates!$A:$C,2,FALSE()),VLOOKUP(C26,FX_Rates!$A:$C,3,FALSE())))</f>
        <v>1</v>
      </c>
      <c r="H26" s="9">
        <f t="shared" si="0"/>
        <v>58280</v>
      </c>
      <c r="I26" s="9">
        <f t="shared" si="1"/>
        <v>17180</v>
      </c>
      <c r="J26" s="10">
        <f t="shared" si="2"/>
        <v>29.478380233356212</v>
      </c>
      <c r="K26" s="7">
        <f>Financials_Raw!G26</f>
        <v>15</v>
      </c>
      <c r="L26" s="7">
        <f>Financials_Raw!H26</f>
        <v>15</v>
      </c>
    </row>
    <row r="27" spans="1:12" x14ac:dyDescent="0.3">
      <c r="A27" s="7">
        <f>Financials_Raw!A27</f>
        <v>6</v>
      </c>
      <c r="B27" s="7" t="str">
        <f>VLOOKUP(A27,Banks!$A:$B,2,FALSE())</f>
        <v>BNP Paribas</v>
      </c>
      <c r="C27" s="7">
        <f>Financials_Raw!B27</f>
        <v>2021</v>
      </c>
      <c r="D27" s="7" t="str">
        <f>Financials_Raw!C27</f>
        <v>EUR</v>
      </c>
      <c r="E27" s="7">
        <f>Financials_Raw!D27</f>
        <v>44330</v>
      </c>
      <c r="F27" s="7">
        <f>Financials_Raw!E27</f>
        <v>9488</v>
      </c>
      <c r="G27" s="8">
        <f>IF(D27="USD",1,IF(D27="EUR",VLOOKUP(C27,FX_Rates!$A:$C,2,FALSE()),VLOOKUP(C27,FX_Rates!$A:$C,3,FALSE())))</f>
        <v>1.1830000000000001</v>
      </c>
      <c r="H27" s="9">
        <f t="shared" si="0"/>
        <v>52442.39</v>
      </c>
      <c r="I27" s="9">
        <f t="shared" si="1"/>
        <v>11224.304</v>
      </c>
      <c r="J27" s="10">
        <f t="shared" si="2"/>
        <v>21.403113016016242</v>
      </c>
      <c r="K27" s="7">
        <f>Financials_Raw!G27</f>
        <v>8.3000000000000007</v>
      </c>
      <c r="L27" s="7">
        <f>Financials_Raw!H27</f>
        <v>12.9</v>
      </c>
    </row>
    <row r="28" spans="1:12" x14ac:dyDescent="0.3">
      <c r="A28" s="7">
        <f>Financials_Raw!A28</f>
        <v>6</v>
      </c>
      <c r="B28" s="7" t="str">
        <f>VLOOKUP(A28,Banks!$A:$B,2,FALSE())</f>
        <v>BNP Paribas</v>
      </c>
      <c r="C28" s="7">
        <f>Financials_Raw!B28</f>
        <v>2022</v>
      </c>
      <c r="D28" s="7" t="str">
        <f>Financials_Raw!C28</f>
        <v>EUR</v>
      </c>
      <c r="E28" s="7">
        <f>Financials_Raw!D28</f>
        <v>46184</v>
      </c>
      <c r="F28" s="7">
        <f>Financials_Raw!E28</f>
        <v>10196</v>
      </c>
      <c r="G28" s="8">
        <f>IF(D28="USD",1,IF(D28="EUR",VLOOKUP(C28,FX_Rates!$A:$C,2,FALSE()),VLOOKUP(C28,FX_Rates!$A:$C,3,FALSE())))</f>
        <v>1.0529999999999999</v>
      </c>
      <c r="H28" s="9">
        <f t="shared" si="0"/>
        <v>48631.752</v>
      </c>
      <c r="I28" s="9">
        <f t="shared" si="1"/>
        <v>10736.387999999999</v>
      </c>
      <c r="J28" s="10">
        <f t="shared" si="2"/>
        <v>22.076909752295165</v>
      </c>
      <c r="K28" s="7">
        <f>Financials_Raw!G28</f>
        <v>9.8000000000000007</v>
      </c>
      <c r="L28" s="7">
        <f>Financials_Raw!H28</f>
        <v>12.3</v>
      </c>
    </row>
    <row r="29" spans="1:12" x14ac:dyDescent="0.3">
      <c r="A29" s="7">
        <f>Financials_Raw!A29</f>
        <v>6</v>
      </c>
      <c r="B29" s="7" t="str">
        <f>VLOOKUP(A29,Banks!$A:$B,2,FALSE())</f>
        <v>BNP Paribas</v>
      </c>
      <c r="C29" s="7">
        <f>Financials_Raw!B29</f>
        <v>2023</v>
      </c>
      <c r="D29" s="7" t="str">
        <f>Financials_Raw!C29</f>
        <v>EUR</v>
      </c>
      <c r="E29" s="7">
        <f>Financials_Raw!D29</f>
        <v>45494</v>
      </c>
      <c r="F29" s="7">
        <f>Financials_Raw!E29</f>
        <v>11097</v>
      </c>
      <c r="G29" s="8">
        <f>IF(D29="USD",1,IF(D29="EUR",VLOOKUP(C29,FX_Rates!$A:$C,2,FALSE()),VLOOKUP(C29,FX_Rates!$A:$C,3,FALSE())))</f>
        <v>1.0820000000000001</v>
      </c>
      <c r="H29" s="9">
        <f t="shared" si="0"/>
        <v>49224.508000000002</v>
      </c>
      <c r="I29" s="9">
        <f t="shared" si="1"/>
        <v>12006.954000000002</v>
      </c>
      <c r="J29" s="10">
        <f t="shared" si="2"/>
        <v>24.39222754648965</v>
      </c>
      <c r="K29" s="7">
        <f>Financials_Raw!G29</f>
        <v>9.5</v>
      </c>
      <c r="L29" s="7">
        <f>Financials_Raw!H29</f>
        <v>13.2</v>
      </c>
    </row>
    <row r="30" spans="1:12" x14ac:dyDescent="0.3">
      <c r="A30" s="7">
        <f>Financials_Raw!A30</f>
        <v>6</v>
      </c>
      <c r="B30" s="7" t="str">
        <f>VLOOKUP(A30,Banks!$A:$B,2,FALSE())</f>
        <v>BNP Paribas</v>
      </c>
      <c r="C30" s="7">
        <f>Financials_Raw!B30</f>
        <v>2024</v>
      </c>
      <c r="D30" s="7" t="str">
        <f>Financials_Raw!C30</f>
        <v>EUR</v>
      </c>
      <c r="E30" s="7">
        <f>Financials_Raw!D30</f>
        <v>48825</v>
      </c>
      <c r="F30" s="7">
        <f>Financials_Raw!E30</f>
        <v>11688</v>
      </c>
      <c r="G30" s="8">
        <f>IF(D30="USD",1,IF(D30="EUR",VLOOKUP(C30,FX_Rates!$A:$C,2,FALSE()),VLOOKUP(C30,FX_Rates!$A:$C,3,FALSE())))</f>
        <v>1.0820000000000001</v>
      </c>
      <c r="H30" s="9">
        <f t="shared" si="0"/>
        <v>52828.65</v>
      </c>
      <c r="I30" s="9">
        <f t="shared" si="1"/>
        <v>12646.416000000001</v>
      </c>
      <c r="J30" s="10">
        <f t="shared" si="2"/>
        <v>23.938556067588326</v>
      </c>
      <c r="K30" s="7">
        <f>Financials_Raw!G30</f>
        <v>11.5</v>
      </c>
      <c r="L30" s="7">
        <f>Financials_Raw!H30</f>
        <v>12.7</v>
      </c>
    </row>
    <row r="31" spans="1:12" x14ac:dyDescent="0.3">
      <c r="A31" s="7">
        <f>Financials_Raw!A31</f>
        <v>6</v>
      </c>
      <c r="B31" s="7" t="str">
        <f>VLOOKUP(A31,Banks!$A:$B,2,FALSE())</f>
        <v>BNP Paribas</v>
      </c>
      <c r="C31" s="7">
        <f>Financials_Raw!B31</f>
        <v>2025</v>
      </c>
      <c r="D31" s="7" t="str">
        <f>Financials_Raw!C31</f>
        <v>EUR</v>
      </c>
      <c r="E31" s="7">
        <f>Financials_Raw!D31</f>
        <v>51223</v>
      </c>
      <c r="F31" s="7">
        <f>Financials_Raw!E31</f>
        <v>12225</v>
      </c>
      <c r="G31" s="8">
        <f>IF(D31="USD",1,IF(D31="EUR",VLOOKUP(C31,FX_Rates!$A:$C,2,FALSE()),VLOOKUP(C31,FX_Rates!$A:$C,3,FALSE())))</f>
        <v>1.08</v>
      </c>
      <c r="H31" s="9">
        <f t="shared" si="0"/>
        <v>55320.840000000004</v>
      </c>
      <c r="I31" s="9">
        <f t="shared" si="1"/>
        <v>13203</v>
      </c>
      <c r="J31" s="10">
        <f t="shared" si="2"/>
        <v>23.866231966108973</v>
      </c>
      <c r="K31" s="7">
        <f>Financials_Raw!G31</f>
        <v>11.6</v>
      </c>
      <c r="L31" s="7">
        <f>Financials_Raw!H31</f>
        <v>12.6</v>
      </c>
    </row>
    <row r="32" spans="1:12" x14ac:dyDescent="0.3">
      <c r="A32" s="7">
        <f>Financials_Raw!A32</f>
        <v>7</v>
      </c>
      <c r="B32" s="7" t="str">
        <f>VLOOKUP(A32,Banks!$A:$B,2,FALSE())</f>
        <v>Banco Santander</v>
      </c>
      <c r="C32" s="7">
        <f>Financials_Raw!B32</f>
        <v>2021</v>
      </c>
      <c r="D32" s="7" t="str">
        <f>Financials_Raw!C32</f>
        <v>EUR</v>
      </c>
      <c r="E32" s="7">
        <f>Financials_Raw!D32</f>
        <v>45970</v>
      </c>
      <c r="F32" s="7">
        <f>Financials_Raw!E32</f>
        <v>8124</v>
      </c>
      <c r="G32" s="8">
        <f>IF(D32="USD",1,IF(D32="EUR",VLOOKUP(C32,FX_Rates!$A:$C,2,FALSE()),VLOOKUP(C32,FX_Rates!$A:$C,3,FALSE())))</f>
        <v>1.1830000000000001</v>
      </c>
      <c r="H32" s="9">
        <f t="shared" si="0"/>
        <v>54382.51</v>
      </c>
      <c r="I32" s="9">
        <f t="shared" si="1"/>
        <v>9610.6920000000009</v>
      </c>
      <c r="J32" s="10">
        <f t="shared" si="2"/>
        <v>17.672395040243639</v>
      </c>
      <c r="K32" s="7">
        <f>Financials_Raw!G32</f>
        <v>11.1</v>
      </c>
      <c r="L32" s="7">
        <f>Financials_Raw!H32</f>
        <v>11.9</v>
      </c>
    </row>
    <row r="33" spans="1:12" x14ac:dyDescent="0.3">
      <c r="A33" s="7">
        <f>Financials_Raw!A33</f>
        <v>7</v>
      </c>
      <c r="B33" s="7" t="str">
        <f>VLOOKUP(A33,Banks!$A:$B,2,FALSE())</f>
        <v>Banco Santander</v>
      </c>
      <c r="C33" s="7">
        <f>Financials_Raw!B33</f>
        <v>2022</v>
      </c>
      <c r="D33" s="7" t="str">
        <f>Financials_Raw!C33</f>
        <v>EUR</v>
      </c>
      <c r="E33" s="7">
        <f>Financials_Raw!D33</f>
        <v>52211</v>
      </c>
      <c r="F33" s="7">
        <f>Financials_Raw!E33</f>
        <v>9605</v>
      </c>
      <c r="G33" s="8">
        <f>IF(D33="USD",1,IF(D33="EUR",VLOOKUP(C33,FX_Rates!$A:$C,2,FALSE()),VLOOKUP(C33,FX_Rates!$A:$C,3,FALSE())))</f>
        <v>1.0529999999999999</v>
      </c>
      <c r="H33" s="9">
        <f t="shared" si="0"/>
        <v>54978.182999999997</v>
      </c>
      <c r="I33" s="9">
        <f t="shared" si="1"/>
        <v>10114.064999999999</v>
      </c>
      <c r="J33" s="10">
        <f t="shared" si="2"/>
        <v>18.396506483308116</v>
      </c>
      <c r="K33" s="7">
        <f>Financials_Raw!G33</f>
        <v>13.4</v>
      </c>
      <c r="L33" s="7">
        <f>Financials_Raw!H33</f>
        <v>12</v>
      </c>
    </row>
    <row r="34" spans="1:12" x14ac:dyDescent="0.3">
      <c r="A34" s="7">
        <f>Financials_Raw!A34</f>
        <v>7</v>
      </c>
      <c r="B34" s="7" t="str">
        <f>VLOOKUP(A34,Banks!$A:$B,2,FALSE())</f>
        <v>Banco Santander</v>
      </c>
      <c r="C34" s="7">
        <f>Financials_Raw!B34</f>
        <v>2023</v>
      </c>
      <c r="D34" s="7" t="str">
        <f>Financials_Raw!C34</f>
        <v>EUR</v>
      </c>
      <c r="E34" s="7">
        <f>Financials_Raw!D34</f>
        <v>57411</v>
      </c>
      <c r="F34" s="7">
        <f>Financials_Raw!E34</f>
        <v>11076</v>
      </c>
      <c r="G34" s="8">
        <f>IF(D34="USD",1,IF(D34="EUR",VLOOKUP(C34,FX_Rates!$A:$C,2,FALSE()),VLOOKUP(C34,FX_Rates!$A:$C,3,FALSE())))</f>
        <v>1.0820000000000001</v>
      </c>
      <c r="H34" s="9">
        <f t="shared" ref="H34:H65" si="3">E34*G34</f>
        <v>62118.702000000005</v>
      </c>
      <c r="I34" s="9">
        <f t="shared" ref="I34:I56" si="4">F34*G34</f>
        <v>11984.232</v>
      </c>
      <c r="J34" s="10">
        <f t="shared" ref="J34:J65" si="5">IF(H34=0,0,I34/H34*100)</f>
        <v>19.292470084130215</v>
      </c>
      <c r="K34" s="7">
        <f>Financials_Raw!G34</f>
        <v>14.6</v>
      </c>
      <c r="L34" s="7">
        <f>Financials_Raw!H34</f>
        <v>12.3</v>
      </c>
    </row>
    <row r="35" spans="1:12" x14ac:dyDescent="0.3">
      <c r="A35" s="7">
        <f>Financials_Raw!A35</f>
        <v>7</v>
      </c>
      <c r="B35" s="7" t="str">
        <f>VLOOKUP(A35,Banks!$A:$B,2,FALSE())</f>
        <v>Banco Santander</v>
      </c>
      <c r="C35" s="7">
        <f>Financials_Raw!B35</f>
        <v>2024</v>
      </c>
      <c r="D35" s="7" t="str">
        <f>Financials_Raw!C35</f>
        <v>EUR</v>
      </c>
      <c r="E35" s="7">
        <f>Financials_Raw!D35</f>
        <v>58380</v>
      </c>
      <c r="F35" s="7">
        <f>Financials_Raw!E35</f>
        <v>12574</v>
      </c>
      <c r="G35" s="8">
        <f>IF(D35="USD",1,IF(D35="EUR",VLOOKUP(C35,FX_Rates!$A:$C,2,FALSE()),VLOOKUP(C35,FX_Rates!$A:$C,3,FALSE())))</f>
        <v>1.0820000000000001</v>
      </c>
      <c r="H35" s="9">
        <f t="shared" si="3"/>
        <v>63167.16</v>
      </c>
      <c r="I35" s="9">
        <f t="shared" si="4"/>
        <v>13605.068000000001</v>
      </c>
      <c r="J35" s="10">
        <f t="shared" si="5"/>
        <v>21.53819801301816</v>
      </c>
      <c r="K35" s="7">
        <f>Financials_Raw!G35</f>
        <v>15.5</v>
      </c>
      <c r="L35" s="7">
        <f>Financials_Raw!H35</f>
        <v>12.8</v>
      </c>
    </row>
    <row r="36" spans="1:12" x14ac:dyDescent="0.3">
      <c r="A36" s="7">
        <f>Financials_Raw!A36</f>
        <v>7</v>
      </c>
      <c r="B36" s="7" t="str">
        <f>VLOOKUP(A36,Banks!$A:$B,2,FALSE())</f>
        <v>Banco Santander</v>
      </c>
      <c r="C36" s="7">
        <f>Financials_Raw!B36</f>
        <v>2025</v>
      </c>
      <c r="D36" s="7" t="str">
        <f>Financials_Raw!C36</f>
        <v>EUR</v>
      </c>
      <c r="E36" s="7">
        <f>Financials_Raw!D36</f>
        <v>62400</v>
      </c>
      <c r="F36" s="7">
        <f>Financials_Raw!E36</f>
        <v>14101</v>
      </c>
      <c r="G36" s="8">
        <f>IF(D36="USD",1,IF(D36="EUR",VLOOKUP(C36,FX_Rates!$A:$C,2,FALSE()),VLOOKUP(C36,FX_Rates!$A:$C,3,FALSE())))</f>
        <v>1.08</v>
      </c>
      <c r="H36" s="9">
        <f t="shared" si="3"/>
        <v>67392</v>
      </c>
      <c r="I36" s="9">
        <f t="shared" si="4"/>
        <v>15229.080000000002</v>
      </c>
      <c r="J36" s="10">
        <f t="shared" si="5"/>
        <v>22.597756410256412</v>
      </c>
      <c r="K36" s="7">
        <f>Financials_Raw!G36</f>
        <v>16.3</v>
      </c>
      <c r="L36" s="7">
        <f>Financials_Raw!H36</f>
        <v>13.5</v>
      </c>
    </row>
    <row r="37" spans="1:12" x14ac:dyDescent="0.3">
      <c r="A37" s="7">
        <f>Financials_Raw!A37</f>
        <v>8</v>
      </c>
      <c r="B37" s="7" t="str">
        <f>VLOOKUP(A37,Banks!$A:$B,2,FALSE())</f>
        <v>Deutsche Bank</v>
      </c>
      <c r="C37" s="7">
        <f>Financials_Raw!B37</f>
        <v>2021</v>
      </c>
      <c r="D37" s="7" t="str">
        <f>Financials_Raw!C37</f>
        <v>EUR</v>
      </c>
      <c r="E37" s="7">
        <f>Financials_Raw!D37</f>
        <v>25383</v>
      </c>
      <c r="F37" s="7">
        <f>Financials_Raw!E37</f>
        <v>2510</v>
      </c>
      <c r="G37" s="8">
        <f>IF(D37="USD",1,IF(D37="EUR",VLOOKUP(C37,FX_Rates!$A:$C,2,FALSE()),VLOOKUP(C37,FX_Rates!$A:$C,3,FALSE())))</f>
        <v>1.1830000000000001</v>
      </c>
      <c r="H37" s="9">
        <f t="shared" si="3"/>
        <v>30028.089</v>
      </c>
      <c r="I37" s="9">
        <f t="shared" si="4"/>
        <v>2969.33</v>
      </c>
      <c r="J37" s="10">
        <f t="shared" si="5"/>
        <v>9.888508056573297</v>
      </c>
      <c r="K37" s="7">
        <f>Financials_Raw!G37</f>
        <v>3.8</v>
      </c>
      <c r="L37" s="7">
        <f>Financials_Raw!H37</f>
        <v>13.2</v>
      </c>
    </row>
    <row r="38" spans="1:12" x14ac:dyDescent="0.3">
      <c r="A38" s="7">
        <f>Financials_Raw!A38</f>
        <v>8</v>
      </c>
      <c r="B38" s="7" t="str">
        <f>VLOOKUP(A38,Banks!$A:$B,2,FALSE())</f>
        <v>Deutsche Bank</v>
      </c>
      <c r="C38" s="7">
        <f>Financials_Raw!B38</f>
        <v>2022</v>
      </c>
      <c r="D38" s="7" t="str">
        <f>Financials_Raw!C38</f>
        <v>EUR</v>
      </c>
      <c r="E38" s="7">
        <f>Financials_Raw!D38</f>
        <v>27224</v>
      </c>
      <c r="F38" s="7">
        <f>Financials_Raw!E38</f>
        <v>5659</v>
      </c>
      <c r="G38" s="8">
        <f>IF(D38="USD",1,IF(D38="EUR",VLOOKUP(C38,FX_Rates!$A:$C,2,FALSE()),VLOOKUP(C38,FX_Rates!$A:$C,3,FALSE())))</f>
        <v>1.0529999999999999</v>
      </c>
      <c r="H38" s="9">
        <f t="shared" si="3"/>
        <v>28666.871999999999</v>
      </c>
      <c r="I38" s="9">
        <f t="shared" si="4"/>
        <v>5958.9269999999997</v>
      </c>
      <c r="J38" s="10">
        <f t="shared" si="5"/>
        <v>20.78680575962386</v>
      </c>
      <c r="K38" s="7">
        <f>Financials_Raw!G38</f>
        <v>7.9</v>
      </c>
      <c r="L38" s="7">
        <f>Financials_Raw!H38</f>
        <v>13.4</v>
      </c>
    </row>
    <row r="39" spans="1:12" x14ac:dyDescent="0.3">
      <c r="A39" s="7">
        <f>Financials_Raw!A39</f>
        <v>8</v>
      </c>
      <c r="B39" s="7" t="str">
        <f>VLOOKUP(A39,Banks!$A:$B,2,FALSE())</f>
        <v>Deutsche Bank</v>
      </c>
      <c r="C39" s="7">
        <f>Financials_Raw!B39</f>
        <v>2023</v>
      </c>
      <c r="D39" s="7" t="str">
        <f>Financials_Raw!C39</f>
        <v>EUR</v>
      </c>
      <c r="E39" s="7">
        <f>Financials_Raw!D39</f>
        <v>28880</v>
      </c>
      <c r="F39" s="7">
        <f>Financials_Raw!E39</f>
        <v>4894</v>
      </c>
      <c r="G39" s="8">
        <f>IF(D39="USD",1,IF(D39="EUR",VLOOKUP(C39,FX_Rates!$A:$C,2,FALSE()),VLOOKUP(C39,FX_Rates!$A:$C,3,FALSE())))</f>
        <v>1.0820000000000001</v>
      </c>
      <c r="H39" s="9">
        <f t="shared" si="3"/>
        <v>31248.160000000003</v>
      </c>
      <c r="I39" s="9">
        <f t="shared" si="4"/>
        <v>5295.308</v>
      </c>
      <c r="J39" s="10">
        <f t="shared" si="5"/>
        <v>16.945983379501385</v>
      </c>
      <c r="K39" s="7">
        <f>Financials_Raw!G39</f>
        <v>7.4</v>
      </c>
      <c r="L39" s="7">
        <f>Financials_Raw!H39</f>
        <v>13.7</v>
      </c>
    </row>
    <row r="40" spans="1:12" x14ac:dyDescent="0.3">
      <c r="A40" s="7">
        <f>Financials_Raw!A40</f>
        <v>8</v>
      </c>
      <c r="B40" s="7" t="str">
        <f>VLOOKUP(A40,Banks!$A:$B,2,FALSE())</f>
        <v>Deutsche Bank</v>
      </c>
      <c r="C40" s="7">
        <f>Financials_Raw!B40</f>
        <v>2024</v>
      </c>
      <c r="D40" s="7" t="str">
        <f>Financials_Raw!C40</f>
        <v>EUR</v>
      </c>
      <c r="E40" s="7">
        <f>Financials_Raw!D40</f>
        <v>30100</v>
      </c>
      <c r="F40" s="7">
        <f>Financials_Raw!E40</f>
        <v>2666</v>
      </c>
      <c r="G40" s="8">
        <f>IF(D40="USD",1,IF(D40="EUR",VLOOKUP(C40,FX_Rates!$A:$C,2,FALSE()),VLOOKUP(C40,FX_Rates!$A:$C,3,FALSE())))</f>
        <v>1.0820000000000001</v>
      </c>
      <c r="H40" s="9">
        <f t="shared" si="3"/>
        <v>32568.2</v>
      </c>
      <c r="I40" s="9">
        <f t="shared" si="4"/>
        <v>2884.6120000000001</v>
      </c>
      <c r="J40" s="10">
        <f t="shared" si="5"/>
        <v>8.8571428571428577</v>
      </c>
      <c r="K40" s="7">
        <f>Financials_Raw!G40</f>
        <v>4.7</v>
      </c>
      <c r="L40" s="7">
        <f>Financials_Raw!H40</f>
        <v>13.8</v>
      </c>
    </row>
    <row r="41" spans="1:12" x14ac:dyDescent="0.3">
      <c r="A41" s="7">
        <f>Financials_Raw!A41</f>
        <v>8</v>
      </c>
      <c r="B41" s="7" t="str">
        <f>VLOOKUP(A41,Banks!$A:$B,2,FALSE())</f>
        <v>Deutsche Bank</v>
      </c>
      <c r="C41" s="7">
        <f>Financials_Raw!B41</f>
        <v>2025</v>
      </c>
      <c r="D41" s="7" t="str">
        <f>Financials_Raw!C41</f>
        <v>EUR</v>
      </c>
      <c r="E41" s="7">
        <f>Financials_Raw!D41</f>
        <v>32100</v>
      </c>
      <c r="F41" s="7">
        <f>Financials_Raw!E41</f>
        <v>6120</v>
      </c>
      <c r="G41" s="8">
        <f>IF(D41="USD",1,IF(D41="EUR",VLOOKUP(C41,FX_Rates!$A:$C,2,FALSE()),VLOOKUP(C41,FX_Rates!$A:$C,3,FALSE())))</f>
        <v>1.08</v>
      </c>
      <c r="H41" s="9">
        <f t="shared" si="3"/>
        <v>34668</v>
      </c>
      <c r="I41" s="9">
        <f t="shared" si="4"/>
        <v>6609.6</v>
      </c>
      <c r="J41" s="10">
        <f t="shared" si="5"/>
        <v>19.065420560747665</v>
      </c>
      <c r="K41" s="7">
        <f>Financials_Raw!G41</f>
        <v>10.3</v>
      </c>
      <c r="L41" s="7">
        <f>Financials_Raw!H41</f>
        <v>14.2</v>
      </c>
    </row>
    <row r="42" spans="1:12" x14ac:dyDescent="0.3">
      <c r="A42" s="7">
        <f>Financials_Raw!A42</f>
        <v>9</v>
      </c>
      <c r="B42" s="7" t="str">
        <f>VLOOKUP(A42,Banks!$A:$B,2,FALSE())</f>
        <v>Barclays</v>
      </c>
      <c r="C42" s="7">
        <f>Financials_Raw!B42</f>
        <v>2021</v>
      </c>
      <c r="D42" s="7" t="str">
        <f>Financials_Raw!C42</f>
        <v>GBP</v>
      </c>
      <c r="E42" s="7">
        <f>Financials_Raw!D42</f>
        <v>21940</v>
      </c>
      <c r="F42" s="7">
        <f>Financials_Raw!E42</f>
        <v>5360</v>
      </c>
      <c r="G42" s="8">
        <f>IF(D42="USD",1,IF(D42="EUR",VLOOKUP(C42,FX_Rates!$A:$C,2,FALSE()),VLOOKUP(C42,FX_Rates!$A:$C,3,FALSE())))</f>
        <v>1.3759999999999999</v>
      </c>
      <c r="H42" s="9">
        <f t="shared" si="3"/>
        <v>30189.439999999999</v>
      </c>
      <c r="I42" s="9">
        <f t="shared" si="4"/>
        <v>7375.36</v>
      </c>
      <c r="J42" s="10">
        <f t="shared" si="5"/>
        <v>24.430264357338196</v>
      </c>
      <c r="K42" s="7">
        <f>Financials_Raw!G42</f>
        <v>10.4</v>
      </c>
      <c r="L42" s="7">
        <f>Financials_Raw!H42</f>
        <v>15.1</v>
      </c>
    </row>
    <row r="43" spans="1:12" x14ac:dyDescent="0.3">
      <c r="A43" s="7">
        <f>Financials_Raw!A43</f>
        <v>9</v>
      </c>
      <c r="B43" s="7" t="str">
        <f>VLOOKUP(A43,Banks!$A:$B,2,FALSE())</f>
        <v>Barclays</v>
      </c>
      <c r="C43" s="7">
        <f>Financials_Raw!B43</f>
        <v>2022</v>
      </c>
      <c r="D43" s="7" t="str">
        <f>Financials_Raw!C43</f>
        <v>GBP</v>
      </c>
      <c r="E43" s="7">
        <f>Financials_Raw!D43</f>
        <v>24935</v>
      </c>
      <c r="F43" s="7">
        <f>Financials_Raw!E43</f>
        <v>3536</v>
      </c>
      <c r="G43" s="8">
        <f>IF(D43="USD",1,IF(D43="EUR",VLOOKUP(C43,FX_Rates!$A:$C,2,FALSE()),VLOOKUP(C43,FX_Rates!$A:$C,3,FALSE())))</f>
        <v>1.2370000000000001</v>
      </c>
      <c r="H43" s="9">
        <f t="shared" si="3"/>
        <v>30844.595000000001</v>
      </c>
      <c r="I43" s="9">
        <f t="shared" si="4"/>
        <v>4374.0320000000002</v>
      </c>
      <c r="J43" s="10">
        <f t="shared" si="5"/>
        <v>14.180870262682976</v>
      </c>
      <c r="K43" s="7">
        <f>Financials_Raw!G43</f>
        <v>9.9</v>
      </c>
      <c r="L43" s="7">
        <f>Financials_Raw!H43</f>
        <v>13.9</v>
      </c>
    </row>
    <row r="44" spans="1:12" x14ac:dyDescent="0.3">
      <c r="A44" s="7">
        <f>Financials_Raw!A44</f>
        <v>9</v>
      </c>
      <c r="B44" s="7" t="str">
        <f>VLOOKUP(A44,Banks!$A:$B,2,FALSE())</f>
        <v>Barclays</v>
      </c>
      <c r="C44" s="7">
        <f>Financials_Raw!B44</f>
        <v>2023</v>
      </c>
      <c r="D44" s="7" t="str">
        <f>Financials_Raw!C44</f>
        <v>GBP</v>
      </c>
      <c r="E44" s="7">
        <f>Financials_Raw!D44</f>
        <v>25372</v>
      </c>
      <c r="F44" s="7">
        <f>Financials_Raw!E44</f>
        <v>5286</v>
      </c>
      <c r="G44" s="8">
        <f>IF(D44="USD",1,IF(D44="EUR",VLOOKUP(C44,FX_Rates!$A:$C,2,FALSE()),VLOOKUP(C44,FX_Rates!$A:$C,3,FALSE())))</f>
        <v>1.244</v>
      </c>
      <c r="H44" s="9">
        <f t="shared" si="3"/>
        <v>31562.768</v>
      </c>
      <c r="I44" s="9">
        <f t="shared" si="4"/>
        <v>6575.7839999999997</v>
      </c>
      <c r="J44" s="10">
        <f t="shared" si="5"/>
        <v>20.833990225445373</v>
      </c>
      <c r="K44" s="7">
        <f>Financials_Raw!G44</f>
        <v>10.6</v>
      </c>
      <c r="L44" s="7">
        <f>Financials_Raw!H44</f>
        <v>13.8</v>
      </c>
    </row>
    <row r="45" spans="1:12" x14ac:dyDescent="0.3">
      <c r="A45" s="7">
        <f>Financials_Raw!A45</f>
        <v>9</v>
      </c>
      <c r="B45" s="7" t="str">
        <f>VLOOKUP(A45,Banks!$A:$B,2,FALSE())</f>
        <v>Barclays</v>
      </c>
      <c r="C45" s="7">
        <f>Financials_Raw!B45</f>
        <v>2024</v>
      </c>
      <c r="D45" s="7" t="str">
        <f>Financials_Raw!C45</f>
        <v>GBP</v>
      </c>
      <c r="E45" s="7">
        <f>Financials_Raw!D45</f>
        <v>26793</v>
      </c>
      <c r="F45" s="7">
        <f>Financials_Raw!E45</f>
        <v>5306</v>
      </c>
      <c r="G45" s="8">
        <f>IF(D45="USD",1,IF(D45="EUR",VLOOKUP(C45,FX_Rates!$A:$C,2,FALSE()),VLOOKUP(C45,FX_Rates!$A:$C,3,FALSE())))</f>
        <v>1.278</v>
      </c>
      <c r="H45" s="9">
        <f t="shared" si="3"/>
        <v>34241.453999999998</v>
      </c>
      <c r="I45" s="9">
        <f t="shared" si="4"/>
        <v>6781.0680000000002</v>
      </c>
      <c r="J45" s="10">
        <f t="shared" si="5"/>
        <v>19.803680065688802</v>
      </c>
      <c r="K45" s="7">
        <f>Financials_Raw!G45</f>
        <v>10.5</v>
      </c>
      <c r="L45" s="7">
        <f>Financials_Raw!H45</f>
        <v>13.6</v>
      </c>
    </row>
    <row r="46" spans="1:12" x14ac:dyDescent="0.3">
      <c r="A46" s="7">
        <f>Financials_Raw!A46</f>
        <v>9</v>
      </c>
      <c r="B46" s="7" t="str">
        <f>VLOOKUP(A46,Banks!$A:$B,2,FALSE())</f>
        <v>Barclays</v>
      </c>
      <c r="C46" s="7">
        <f>Financials_Raw!B46</f>
        <v>2025</v>
      </c>
      <c r="D46" s="7" t="str">
        <f>Financials_Raw!C46</f>
        <v>GBP</v>
      </c>
      <c r="E46" s="7">
        <f>Financials_Raw!D46</f>
        <v>29140</v>
      </c>
      <c r="F46" s="7">
        <f>Financials_Raw!E46</f>
        <v>6175</v>
      </c>
      <c r="G46" s="8">
        <f>IF(D46="USD",1,IF(D46="EUR",VLOOKUP(C46,FX_Rates!$A:$C,2,FALSE()),VLOOKUP(C46,FX_Rates!$A:$C,3,FALSE())))</f>
        <v>1.28</v>
      </c>
      <c r="H46" s="9">
        <f t="shared" si="3"/>
        <v>37299.200000000004</v>
      </c>
      <c r="I46" s="9">
        <f t="shared" si="4"/>
        <v>7904</v>
      </c>
      <c r="J46" s="10">
        <f t="shared" si="5"/>
        <v>21.19080301990391</v>
      </c>
      <c r="K46" s="7">
        <f>Financials_Raw!G46</f>
        <v>11.3</v>
      </c>
      <c r="L46" s="7">
        <f>Financials_Raw!H46</f>
        <v>14.3</v>
      </c>
    </row>
    <row r="47" spans="1:12" x14ac:dyDescent="0.3">
      <c r="A47" s="7">
        <f>Financials_Raw!A47</f>
        <v>10</v>
      </c>
      <c r="B47" s="7" t="str">
        <f>VLOOKUP(A47,Banks!$A:$B,2,FALSE())</f>
        <v>UBS Group</v>
      </c>
      <c r="C47" s="7">
        <f>Financials_Raw!B47</f>
        <v>2021</v>
      </c>
      <c r="D47" s="7" t="str">
        <f>Financials_Raw!C47</f>
        <v>USD</v>
      </c>
      <c r="E47" s="7">
        <f>Financials_Raw!D47</f>
        <v>36818</v>
      </c>
      <c r="F47" s="7">
        <f>Financials_Raw!E47</f>
        <v>7457</v>
      </c>
      <c r="G47" s="8">
        <f>IF(D47="USD",1,IF(D47="EUR",VLOOKUP(C47,FX_Rates!$A:$C,2,FALSE()),VLOOKUP(C47,FX_Rates!$A:$C,3,FALSE())))</f>
        <v>1</v>
      </c>
      <c r="H47" s="9">
        <f t="shared" si="3"/>
        <v>36818</v>
      </c>
      <c r="I47" s="9">
        <f t="shared" si="4"/>
        <v>7457</v>
      </c>
      <c r="J47" s="10">
        <f t="shared" si="5"/>
        <v>20.253680265087727</v>
      </c>
      <c r="K47" s="7">
        <f>Financials_Raw!G47</f>
        <v>13.9</v>
      </c>
      <c r="L47" s="7">
        <f>Financials_Raw!H47</f>
        <v>14.9</v>
      </c>
    </row>
    <row r="48" spans="1:12" x14ac:dyDescent="0.3">
      <c r="A48" s="7">
        <f>Financials_Raw!A48</f>
        <v>10</v>
      </c>
      <c r="B48" s="7" t="str">
        <f>VLOOKUP(A48,Banks!$A:$B,2,FALSE())</f>
        <v>UBS Group</v>
      </c>
      <c r="C48" s="7">
        <f>Financials_Raw!B48</f>
        <v>2022</v>
      </c>
      <c r="D48" s="7" t="str">
        <f>Financials_Raw!C48</f>
        <v>USD</v>
      </c>
      <c r="E48" s="7">
        <f>Financials_Raw!D48</f>
        <v>35728</v>
      </c>
      <c r="F48" s="7">
        <f>Financials_Raw!E48</f>
        <v>7626</v>
      </c>
      <c r="G48" s="8">
        <f>IF(D48="USD",1,IF(D48="EUR",VLOOKUP(C48,FX_Rates!$A:$C,2,FALSE()),VLOOKUP(C48,FX_Rates!$A:$C,3,FALSE())))</f>
        <v>1</v>
      </c>
      <c r="H48" s="9">
        <f t="shared" si="3"/>
        <v>35728</v>
      </c>
      <c r="I48" s="9">
        <f t="shared" si="4"/>
        <v>7626</v>
      </c>
      <c r="J48" s="10">
        <f t="shared" si="5"/>
        <v>21.34460367218988</v>
      </c>
      <c r="K48" s="7">
        <f>Financials_Raw!G48</f>
        <v>14.3</v>
      </c>
      <c r="L48" s="7">
        <f>Financials_Raw!H48</f>
        <v>14.2</v>
      </c>
    </row>
    <row r="49" spans="1:12" x14ac:dyDescent="0.3">
      <c r="A49" s="7">
        <f>Financials_Raw!A49</f>
        <v>10</v>
      </c>
      <c r="B49" s="7" t="str">
        <f>VLOOKUP(A49,Banks!$A:$B,2,FALSE())</f>
        <v>UBS Group</v>
      </c>
      <c r="C49" s="7">
        <f>Financials_Raw!B49</f>
        <v>2023</v>
      </c>
      <c r="D49" s="7" t="str">
        <f>Financials_Raw!C49</f>
        <v>USD</v>
      </c>
      <c r="E49" s="7">
        <f>Financials_Raw!D49</f>
        <v>43723</v>
      </c>
      <c r="F49" s="7">
        <f>Financials_Raw!E49</f>
        <v>29027</v>
      </c>
      <c r="G49" s="8">
        <f>IF(D49="USD",1,IF(D49="EUR",VLOOKUP(C49,FX_Rates!$A:$C,2,FALSE()),VLOOKUP(C49,FX_Rates!$A:$C,3,FALSE())))</f>
        <v>1</v>
      </c>
      <c r="H49" s="9">
        <f t="shared" si="3"/>
        <v>43723</v>
      </c>
      <c r="I49" s="9">
        <f t="shared" si="4"/>
        <v>29027</v>
      </c>
      <c r="J49" s="10">
        <f t="shared" si="5"/>
        <v>66.388399698099391</v>
      </c>
      <c r="K49" s="7">
        <f>Financials_Raw!G49</f>
        <v>13</v>
      </c>
      <c r="L49" s="7">
        <f>Financials_Raw!H49</f>
        <v>14.4</v>
      </c>
    </row>
    <row r="50" spans="1:12" x14ac:dyDescent="0.3">
      <c r="A50" s="7">
        <f>Financials_Raw!A50</f>
        <v>10</v>
      </c>
      <c r="B50" s="7" t="str">
        <f>VLOOKUP(A50,Banks!$A:$B,2,FALSE())</f>
        <v>UBS Group</v>
      </c>
      <c r="C50" s="7">
        <f>Financials_Raw!B50</f>
        <v>2024</v>
      </c>
      <c r="D50" s="7" t="str">
        <f>Financials_Raw!C50</f>
        <v>USD</v>
      </c>
      <c r="E50" s="7">
        <f>Financials_Raw!D50</f>
        <v>48565</v>
      </c>
      <c r="F50" s="7">
        <f>Financials_Raw!E50</f>
        <v>5092</v>
      </c>
      <c r="G50" s="8">
        <f>IF(D50="USD",1,IF(D50="EUR",VLOOKUP(C50,FX_Rates!$A:$C,2,FALSE()),VLOOKUP(C50,FX_Rates!$A:$C,3,FALSE())))</f>
        <v>1</v>
      </c>
      <c r="H50" s="9">
        <f t="shared" si="3"/>
        <v>48565</v>
      </c>
      <c r="I50" s="9">
        <f t="shared" si="4"/>
        <v>5092</v>
      </c>
      <c r="J50" s="10">
        <f t="shared" si="5"/>
        <v>10.484917121383711</v>
      </c>
      <c r="K50" s="7">
        <f>Financials_Raw!G50</f>
        <v>7.1</v>
      </c>
      <c r="L50" s="7">
        <f>Financials_Raw!H50</f>
        <v>14.3</v>
      </c>
    </row>
    <row r="51" spans="1:12" x14ac:dyDescent="0.3">
      <c r="A51" s="7">
        <f>Financials_Raw!A51</f>
        <v>10</v>
      </c>
      <c r="B51" s="7" t="str">
        <f>VLOOKUP(A51,Banks!$A:$B,2,FALSE())</f>
        <v>UBS Group</v>
      </c>
      <c r="C51" s="7">
        <f>Financials_Raw!B51</f>
        <v>2025</v>
      </c>
      <c r="D51" s="7" t="str">
        <f>Financials_Raw!C51</f>
        <v>USD</v>
      </c>
      <c r="E51" s="7">
        <f>Financials_Raw!D51</f>
        <v>50500</v>
      </c>
      <c r="F51" s="7">
        <f>Financials_Raw!E51</f>
        <v>7767</v>
      </c>
      <c r="G51" s="8">
        <f>IF(D51="USD",1,IF(D51="EUR",VLOOKUP(C51,FX_Rates!$A:$C,2,FALSE()),VLOOKUP(C51,FX_Rates!$A:$C,3,FALSE())))</f>
        <v>1</v>
      </c>
      <c r="H51" s="9">
        <f t="shared" si="3"/>
        <v>50500</v>
      </c>
      <c r="I51" s="9">
        <f t="shared" si="4"/>
        <v>7767</v>
      </c>
      <c r="J51" s="10">
        <f t="shared" si="5"/>
        <v>15.380198019801981</v>
      </c>
      <c r="K51" s="7">
        <f>Financials_Raw!G51</f>
        <v>10.8</v>
      </c>
      <c r="L51" s="7">
        <f>Financials_Raw!H51</f>
        <v>14.4</v>
      </c>
    </row>
    <row r="52" spans="1:12" x14ac:dyDescent="0.3">
      <c r="A52" s="7">
        <f>Financials_Raw!A52</f>
        <v>11</v>
      </c>
      <c r="B52" s="7" t="str">
        <f>VLOOKUP(A52,Banks!$A:$B,2,FALSE())</f>
        <v>Societe Generale</v>
      </c>
      <c r="C52" s="7">
        <f>Financials_Raw!B52</f>
        <v>2021</v>
      </c>
      <c r="D52" s="7" t="str">
        <f>Financials_Raw!C52</f>
        <v>EUR</v>
      </c>
      <c r="E52" s="7">
        <f>Financials_Raw!D52</f>
        <v>25798</v>
      </c>
      <c r="F52" s="7">
        <f>Financials_Raw!E52</f>
        <v>5641</v>
      </c>
      <c r="G52" s="8">
        <f>IF(D52="USD",1,IF(D52="EUR",VLOOKUP(C52,FX_Rates!$A:$C,2,FALSE()),VLOOKUP(C52,FX_Rates!$A:$C,3,FALSE())))</f>
        <v>1.1830000000000001</v>
      </c>
      <c r="H52" s="9">
        <f t="shared" si="3"/>
        <v>30519.034</v>
      </c>
      <c r="I52" s="9">
        <f t="shared" si="4"/>
        <v>6673.3029999999999</v>
      </c>
      <c r="J52" s="10">
        <f t="shared" si="5"/>
        <v>21.866036126831538</v>
      </c>
      <c r="K52" s="7">
        <f>Financials_Raw!G52</f>
        <v>10</v>
      </c>
      <c r="L52" s="7">
        <f>Financials_Raw!H52</f>
        <v>13.7</v>
      </c>
    </row>
    <row r="53" spans="1:12" x14ac:dyDescent="0.3">
      <c r="A53" s="7">
        <f>Financials_Raw!A53</f>
        <v>11</v>
      </c>
      <c r="B53" s="7" t="str">
        <f>VLOOKUP(A53,Banks!$A:$B,2,FALSE())</f>
        <v>Societe Generale</v>
      </c>
      <c r="C53" s="7">
        <f>Financials_Raw!B53</f>
        <v>2022</v>
      </c>
      <c r="D53" s="7" t="str">
        <f>Financials_Raw!C53</f>
        <v>EUR</v>
      </c>
      <c r="E53" s="7">
        <f>Financials_Raw!D53</f>
        <v>27155</v>
      </c>
      <c r="F53" s="7">
        <f>Financials_Raw!E53</f>
        <v>1825</v>
      </c>
      <c r="G53" s="8">
        <f>IF(D53="USD",1,IF(D53="EUR",VLOOKUP(C53,FX_Rates!$A:$C,2,FALSE()),VLOOKUP(C53,FX_Rates!$A:$C,3,FALSE())))</f>
        <v>1.0529999999999999</v>
      </c>
      <c r="H53" s="9">
        <f t="shared" si="3"/>
        <v>28594.214999999997</v>
      </c>
      <c r="I53" s="9">
        <f t="shared" si="4"/>
        <v>1921.7249999999999</v>
      </c>
      <c r="J53" s="10">
        <f t="shared" si="5"/>
        <v>6.7206775916037564</v>
      </c>
      <c r="K53" s="7">
        <f>Financials_Raw!G53</f>
        <v>2.9</v>
      </c>
      <c r="L53" s="7">
        <f>Financials_Raw!H53</f>
        <v>12.9</v>
      </c>
    </row>
    <row r="54" spans="1:12" x14ac:dyDescent="0.3">
      <c r="A54" s="7">
        <f>Financials_Raw!A54</f>
        <v>11</v>
      </c>
      <c r="B54" s="7" t="str">
        <f>VLOOKUP(A54,Banks!$A:$B,2,FALSE())</f>
        <v>Societe Generale</v>
      </c>
      <c r="C54" s="7">
        <f>Financials_Raw!B54</f>
        <v>2023</v>
      </c>
      <c r="D54" s="7" t="str">
        <f>Financials_Raw!C54</f>
        <v>EUR</v>
      </c>
      <c r="E54" s="7">
        <f>Financials_Raw!D54</f>
        <v>25104</v>
      </c>
      <c r="F54" s="7">
        <f>Financials_Raw!E54</f>
        <v>2493</v>
      </c>
      <c r="G54" s="8">
        <f>IF(D54="USD",1,IF(D54="EUR",VLOOKUP(C54,FX_Rates!$A:$C,2,FALSE()),VLOOKUP(C54,FX_Rates!$A:$C,3,FALSE())))</f>
        <v>1.0820000000000001</v>
      </c>
      <c r="H54" s="9">
        <f t="shared" si="3"/>
        <v>27162.528000000002</v>
      </c>
      <c r="I54" s="9">
        <f t="shared" si="4"/>
        <v>2697.4260000000004</v>
      </c>
      <c r="J54" s="10">
        <f t="shared" si="5"/>
        <v>9.9306883365200775</v>
      </c>
      <c r="K54" s="7">
        <f>Financials_Raw!G54</f>
        <v>3.8</v>
      </c>
      <c r="L54" s="7">
        <f>Financials_Raw!H54</f>
        <v>13.1</v>
      </c>
    </row>
    <row r="55" spans="1:12" x14ac:dyDescent="0.3">
      <c r="A55" s="7">
        <f>Financials_Raw!A55</f>
        <v>11</v>
      </c>
      <c r="B55" s="7" t="str">
        <f>VLOOKUP(A55,Banks!$A:$B,2,FALSE())</f>
        <v>Societe Generale</v>
      </c>
      <c r="C55" s="7">
        <f>Financials_Raw!B55</f>
        <v>2024</v>
      </c>
      <c r="D55" s="7" t="str">
        <f>Financials_Raw!C55</f>
        <v>EUR</v>
      </c>
      <c r="E55" s="7">
        <f>Financials_Raw!D55</f>
        <v>26788</v>
      </c>
      <c r="F55" s="7">
        <f>Financials_Raw!E55</f>
        <v>4204</v>
      </c>
      <c r="G55" s="8">
        <f>IF(D55="USD",1,IF(D55="EUR",VLOOKUP(C55,FX_Rates!$A:$C,2,FALSE()),VLOOKUP(C55,FX_Rates!$A:$C,3,FALSE())))</f>
        <v>1.0820000000000001</v>
      </c>
      <c r="H55" s="9">
        <f t="shared" si="3"/>
        <v>28984.616000000002</v>
      </c>
      <c r="I55" s="9">
        <f t="shared" si="4"/>
        <v>4548.7280000000001</v>
      </c>
      <c r="J55" s="10">
        <f t="shared" si="5"/>
        <v>15.693594146632819</v>
      </c>
      <c r="K55" s="7">
        <f>Financials_Raw!G55</f>
        <v>6.8</v>
      </c>
      <c r="L55" s="7">
        <f>Financials_Raw!H55</f>
        <v>13.3</v>
      </c>
    </row>
    <row r="56" spans="1:12" x14ac:dyDescent="0.3">
      <c r="A56" s="7">
        <f>Financials_Raw!A56</f>
        <v>11</v>
      </c>
      <c r="B56" s="7" t="str">
        <f>VLOOKUP(A56,Banks!$A:$B,2,FALSE())</f>
        <v>Societe Generale</v>
      </c>
      <c r="C56" s="7">
        <f>Financials_Raw!B56</f>
        <v>2025</v>
      </c>
      <c r="D56" s="7" t="str">
        <f>Financials_Raw!C56</f>
        <v>EUR</v>
      </c>
      <c r="E56" s="7">
        <f>Financials_Raw!D56</f>
        <v>27254</v>
      </c>
      <c r="F56" s="7">
        <f>Financials_Raw!E56</f>
        <v>6000</v>
      </c>
      <c r="G56" s="8">
        <f>IF(D56="USD",1,IF(D56="EUR",VLOOKUP(C56,FX_Rates!$A:$C,2,FALSE()),VLOOKUP(C56,FX_Rates!$A:$C,3,FALSE())))</f>
        <v>1.08</v>
      </c>
      <c r="H56" s="9">
        <f t="shared" si="3"/>
        <v>29434.320000000003</v>
      </c>
      <c r="I56" s="9">
        <f t="shared" si="4"/>
        <v>6480</v>
      </c>
      <c r="J56" s="10">
        <f t="shared" si="5"/>
        <v>22.015117047038967</v>
      </c>
      <c r="K56" s="7">
        <f>Financials_Raw!G56</f>
        <v>10.199999999999999</v>
      </c>
      <c r="L56" s="7">
        <f>Financials_Raw!H56</f>
        <v>13.5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6"/>
  <sheetViews>
    <sheetView tabSelected="1" zoomScaleNormal="100" workbookViewId="0">
      <pane ySplit="1" topLeftCell="A2" activePane="bottomLeft" state="frozen"/>
      <selection pane="bottomLeft" activeCell="J1" sqref="J1"/>
    </sheetView>
  </sheetViews>
  <sheetFormatPr baseColWidth="10" defaultColWidth="8.6640625" defaultRowHeight="14.4" x14ac:dyDescent="0.3"/>
  <cols>
    <col min="1" max="1" width="8" customWidth="1"/>
    <col min="2" max="2" width="20" customWidth="1"/>
    <col min="3" max="3" width="8" customWidth="1"/>
    <col min="4" max="4" width="16" customWidth="1"/>
    <col min="5" max="5" width="10" customWidth="1"/>
    <col min="6" max="6" width="12" customWidth="1"/>
    <col min="7" max="7" width="9" customWidth="1"/>
    <col min="8" max="8" width="12" customWidth="1"/>
    <col min="9" max="9" width="6" customWidth="1"/>
    <col min="10" max="11" width="14" customWidth="1"/>
    <col min="12" max="12" width="15" customWidth="1"/>
    <col min="13" max="14" width="9" customWidth="1"/>
    <col min="15" max="15" width="10" customWidth="1"/>
    <col min="16" max="16" width="11" customWidth="1"/>
    <col min="17" max="17" width="16" customWidth="1"/>
    <col min="18" max="19" width="18" customWidth="1"/>
  </cols>
  <sheetData>
    <row r="1" spans="1:21" x14ac:dyDescent="0.3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72</v>
      </c>
      <c r="J1" s="4" t="s">
        <v>87</v>
      </c>
      <c r="K1" s="4" t="s">
        <v>88</v>
      </c>
      <c r="L1" s="4" t="s">
        <v>91</v>
      </c>
      <c r="M1" s="4" t="s">
        <v>80</v>
      </c>
      <c r="N1" s="4" t="s">
        <v>81</v>
      </c>
      <c r="O1" s="4" t="s">
        <v>82</v>
      </c>
      <c r="P1" s="4" t="s">
        <v>89</v>
      </c>
      <c r="Q1" s="4" t="s">
        <v>92</v>
      </c>
      <c r="R1" s="4" t="s">
        <v>93</v>
      </c>
      <c r="S1" s="4" t="s">
        <v>94</v>
      </c>
      <c r="U1" s="6" t="s">
        <v>95</v>
      </c>
    </row>
    <row r="2" spans="1:21" x14ac:dyDescent="0.3">
      <c r="A2" s="8">
        <v>1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8">
        <v>40.712800000000001</v>
      </c>
      <c r="H2" s="8">
        <v>-74.006</v>
      </c>
      <c r="I2" s="8">
        <v>2021</v>
      </c>
      <c r="J2" s="8">
        <v>121640</v>
      </c>
      <c r="K2" s="8">
        <v>48334</v>
      </c>
      <c r="L2" s="8">
        <v>3743567</v>
      </c>
      <c r="M2" s="8">
        <v>23</v>
      </c>
      <c r="N2" s="8">
        <v>13.1</v>
      </c>
      <c r="O2" s="8">
        <v>271025</v>
      </c>
      <c r="P2" s="8">
        <v>39.74</v>
      </c>
      <c r="Q2" s="8"/>
      <c r="R2" s="8"/>
      <c r="S2" s="8">
        <v>78.89</v>
      </c>
    </row>
    <row r="3" spans="1:21" x14ac:dyDescent="0.3">
      <c r="A3" s="8">
        <v>1</v>
      </c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>
        <v>40.712800000000001</v>
      </c>
      <c r="H3" s="8">
        <v>-74.006</v>
      </c>
      <c r="I3" s="8">
        <v>2022</v>
      </c>
      <c r="J3" s="8">
        <v>128695</v>
      </c>
      <c r="K3" s="8">
        <v>37676</v>
      </c>
      <c r="L3" s="8">
        <v>3665743</v>
      </c>
      <c r="M3" s="8">
        <v>18</v>
      </c>
      <c r="N3" s="8">
        <v>12.5</v>
      </c>
      <c r="O3" s="8">
        <v>293723</v>
      </c>
      <c r="P3" s="8">
        <v>29.28</v>
      </c>
      <c r="Q3" s="8">
        <v>5.8</v>
      </c>
      <c r="R3" s="8">
        <v>-22.05</v>
      </c>
      <c r="S3" s="8">
        <v>73.22</v>
      </c>
    </row>
    <row r="4" spans="1:21" x14ac:dyDescent="0.3">
      <c r="A4" s="8">
        <v>1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>
        <v>40.712800000000001</v>
      </c>
      <c r="H4" s="8">
        <v>-74.006</v>
      </c>
      <c r="I4" s="8">
        <v>2023</v>
      </c>
      <c r="J4" s="8">
        <v>158104</v>
      </c>
      <c r="K4" s="8">
        <v>49552</v>
      </c>
      <c r="L4" s="8">
        <v>3875393</v>
      </c>
      <c r="M4" s="8">
        <v>19</v>
      </c>
      <c r="N4" s="8">
        <v>15</v>
      </c>
      <c r="O4" s="8">
        <v>309926</v>
      </c>
      <c r="P4" s="8">
        <v>31.34</v>
      </c>
      <c r="Q4" s="8">
        <v>22.85</v>
      </c>
      <c r="R4" s="8">
        <v>31.52</v>
      </c>
      <c r="S4" s="8">
        <v>71.94</v>
      </c>
    </row>
    <row r="5" spans="1:21" x14ac:dyDescent="0.3">
      <c r="A5" s="8">
        <v>1</v>
      </c>
      <c r="B5" s="8" t="s">
        <v>31</v>
      </c>
      <c r="C5" s="8" t="s">
        <v>32</v>
      </c>
      <c r="D5" s="8" t="s">
        <v>33</v>
      </c>
      <c r="E5" s="8" t="s">
        <v>34</v>
      </c>
      <c r="F5" s="8" t="s">
        <v>35</v>
      </c>
      <c r="G5" s="8">
        <v>40.712800000000001</v>
      </c>
      <c r="H5" s="8">
        <v>-74.006</v>
      </c>
      <c r="I5" s="8">
        <v>2024</v>
      </c>
      <c r="J5" s="8">
        <v>177556</v>
      </c>
      <c r="K5" s="8">
        <v>58471</v>
      </c>
      <c r="L5" s="8">
        <v>4002814</v>
      </c>
      <c r="M5" s="8">
        <v>21</v>
      </c>
      <c r="N5" s="8">
        <v>15.3</v>
      </c>
      <c r="O5" s="8">
        <v>316043</v>
      </c>
      <c r="P5" s="8">
        <v>32.93</v>
      </c>
      <c r="Q5" s="8">
        <v>12.3</v>
      </c>
      <c r="R5" s="8">
        <v>18</v>
      </c>
      <c r="S5" s="8">
        <v>93.3</v>
      </c>
    </row>
    <row r="6" spans="1:21" x14ac:dyDescent="0.3">
      <c r="A6" s="8">
        <v>1</v>
      </c>
      <c r="B6" s="8" t="s">
        <v>31</v>
      </c>
      <c r="C6" s="8" t="s">
        <v>32</v>
      </c>
      <c r="D6" s="8" t="s">
        <v>33</v>
      </c>
      <c r="E6" s="8" t="s">
        <v>34</v>
      </c>
      <c r="F6" s="8" t="s">
        <v>35</v>
      </c>
      <c r="G6" s="8">
        <v>40.712800000000001</v>
      </c>
      <c r="H6" s="8">
        <v>-74.006</v>
      </c>
      <c r="I6" s="8">
        <v>2025</v>
      </c>
      <c r="J6" s="8">
        <v>185600</v>
      </c>
      <c r="K6" s="8">
        <v>57048</v>
      </c>
      <c r="L6" s="8">
        <v>4400000</v>
      </c>
      <c r="M6" s="8">
        <v>17</v>
      </c>
      <c r="N6" s="8">
        <v>14.5</v>
      </c>
      <c r="O6" s="8">
        <v>317230</v>
      </c>
      <c r="P6" s="8">
        <v>30.74</v>
      </c>
      <c r="Q6" s="8">
        <v>4.53</v>
      </c>
      <c r="R6" s="8">
        <v>-2.4300000000000002</v>
      </c>
      <c r="S6" s="8">
        <v>76.62</v>
      </c>
    </row>
    <row r="7" spans="1:21" x14ac:dyDescent="0.3">
      <c r="A7" s="8">
        <v>2</v>
      </c>
      <c r="B7" s="8" t="s">
        <v>37</v>
      </c>
      <c r="C7" s="8" t="s">
        <v>38</v>
      </c>
      <c r="D7" s="8" t="s">
        <v>33</v>
      </c>
      <c r="E7" s="8" t="s">
        <v>34</v>
      </c>
      <c r="F7" s="8" t="s">
        <v>39</v>
      </c>
      <c r="G7" s="8">
        <v>35.2271</v>
      </c>
      <c r="H7" s="8">
        <v>-80.843100000000007</v>
      </c>
      <c r="I7" s="8">
        <v>2021</v>
      </c>
      <c r="J7" s="8">
        <v>89113</v>
      </c>
      <c r="K7" s="8">
        <v>31978</v>
      </c>
      <c r="L7" s="8">
        <v>3169495</v>
      </c>
      <c r="M7" s="8">
        <v>11</v>
      </c>
      <c r="N7" s="8">
        <v>10.6</v>
      </c>
      <c r="O7" s="8">
        <v>213000</v>
      </c>
      <c r="P7" s="8">
        <v>35.880000000000003</v>
      </c>
      <c r="Q7" s="8"/>
      <c r="R7" s="8"/>
      <c r="S7" s="8">
        <v>40.54</v>
      </c>
    </row>
    <row r="8" spans="1:21" x14ac:dyDescent="0.3">
      <c r="A8" s="8">
        <v>2</v>
      </c>
      <c r="B8" s="8" t="s">
        <v>37</v>
      </c>
      <c r="C8" s="8" t="s">
        <v>38</v>
      </c>
      <c r="D8" s="8" t="s">
        <v>33</v>
      </c>
      <c r="E8" s="8" t="s">
        <v>34</v>
      </c>
      <c r="F8" s="8" t="s">
        <v>39</v>
      </c>
      <c r="G8" s="8">
        <v>35.2271</v>
      </c>
      <c r="H8" s="8">
        <v>-80.843100000000007</v>
      </c>
      <c r="I8" s="8">
        <v>2022</v>
      </c>
      <c r="J8" s="8">
        <v>94951</v>
      </c>
      <c r="K8" s="8">
        <v>27528</v>
      </c>
      <c r="L8" s="8">
        <v>3051375</v>
      </c>
      <c r="M8" s="8">
        <v>10</v>
      </c>
      <c r="N8" s="8">
        <v>11.2</v>
      </c>
      <c r="O8" s="8">
        <v>217000</v>
      </c>
      <c r="P8" s="8">
        <v>28.99</v>
      </c>
      <c r="Q8" s="8">
        <v>6.55</v>
      </c>
      <c r="R8" s="8">
        <v>-13.92</v>
      </c>
      <c r="S8" s="8">
        <v>45.81</v>
      </c>
    </row>
    <row r="9" spans="1:21" x14ac:dyDescent="0.3">
      <c r="A9" s="8">
        <v>2</v>
      </c>
      <c r="B9" s="8" t="s">
        <v>37</v>
      </c>
      <c r="C9" s="8" t="s">
        <v>38</v>
      </c>
      <c r="D9" s="8" t="s">
        <v>33</v>
      </c>
      <c r="E9" s="8" t="s">
        <v>34</v>
      </c>
      <c r="F9" s="8" t="s">
        <v>39</v>
      </c>
      <c r="G9" s="8">
        <v>35.2271</v>
      </c>
      <c r="H9" s="8">
        <v>-80.843100000000007</v>
      </c>
      <c r="I9" s="8">
        <v>2023</v>
      </c>
      <c r="J9" s="8">
        <v>98571</v>
      </c>
      <c r="K9" s="8">
        <v>26515</v>
      </c>
      <c r="L9" s="8">
        <v>3180151</v>
      </c>
      <c r="M9" s="8">
        <v>8.8000000000000007</v>
      </c>
      <c r="N9" s="8">
        <v>11.8</v>
      </c>
      <c r="O9" s="8">
        <v>213000</v>
      </c>
      <c r="P9" s="8">
        <v>26.9</v>
      </c>
      <c r="Q9" s="8">
        <v>3.81</v>
      </c>
      <c r="R9" s="8">
        <v>-3.68</v>
      </c>
      <c r="S9" s="8">
        <v>22.45</v>
      </c>
    </row>
    <row r="10" spans="1:21" x14ac:dyDescent="0.3">
      <c r="A10" s="8">
        <v>2</v>
      </c>
      <c r="B10" s="8" t="s">
        <v>37</v>
      </c>
      <c r="C10" s="8" t="s">
        <v>38</v>
      </c>
      <c r="D10" s="8" t="s">
        <v>33</v>
      </c>
      <c r="E10" s="8" t="s">
        <v>34</v>
      </c>
      <c r="F10" s="8" t="s">
        <v>39</v>
      </c>
      <c r="G10" s="8">
        <v>35.2271</v>
      </c>
      <c r="H10" s="8">
        <v>-80.843100000000007</v>
      </c>
      <c r="I10" s="8">
        <v>2024</v>
      </c>
      <c r="J10" s="8">
        <v>105648</v>
      </c>
      <c r="K10" s="8">
        <v>27000</v>
      </c>
      <c r="L10" s="8">
        <v>3298880</v>
      </c>
      <c r="M10" s="8">
        <v>9.3000000000000007</v>
      </c>
      <c r="N10" s="8">
        <v>11.9</v>
      </c>
      <c r="O10" s="8">
        <v>213000</v>
      </c>
      <c r="P10" s="8">
        <v>25.56</v>
      </c>
      <c r="Q10" s="8">
        <v>7.18</v>
      </c>
      <c r="R10" s="8">
        <v>1.83</v>
      </c>
      <c r="S10" s="8">
        <v>39.67</v>
      </c>
    </row>
    <row r="11" spans="1:21" x14ac:dyDescent="0.3">
      <c r="A11" s="8">
        <v>2</v>
      </c>
      <c r="B11" s="8" t="s">
        <v>37</v>
      </c>
      <c r="C11" s="8" t="s">
        <v>38</v>
      </c>
      <c r="D11" s="8" t="s">
        <v>33</v>
      </c>
      <c r="E11" s="8" t="s">
        <v>34</v>
      </c>
      <c r="F11" s="8" t="s">
        <v>39</v>
      </c>
      <c r="G11" s="8">
        <v>35.2271</v>
      </c>
      <c r="H11" s="8">
        <v>-80.843100000000007</v>
      </c>
      <c r="I11" s="8">
        <v>2025</v>
      </c>
      <c r="J11" s="8">
        <v>113100</v>
      </c>
      <c r="K11" s="8">
        <v>30500</v>
      </c>
      <c r="L11" s="8">
        <v>3380000</v>
      </c>
      <c r="M11" s="8">
        <v>10.199999999999999</v>
      </c>
      <c r="N11" s="8">
        <v>11.7</v>
      </c>
      <c r="O11" s="8">
        <v>215000</v>
      </c>
      <c r="P11" s="8">
        <v>26.97</v>
      </c>
      <c r="Q11" s="8">
        <v>7.05</v>
      </c>
      <c r="R11" s="8">
        <v>12.96</v>
      </c>
      <c r="S11" s="8">
        <v>31.8</v>
      </c>
    </row>
    <row r="12" spans="1:21" x14ac:dyDescent="0.3">
      <c r="A12" s="8">
        <v>3</v>
      </c>
      <c r="B12" s="8" t="s">
        <v>40</v>
      </c>
      <c r="C12" s="8" t="s">
        <v>41</v>
      </c>
      <c r="D12" s="8" t="s">
        <v>33</v>
      </c>
      <c r="E12" s="8" t="s">
        <v>34</v>
      </c>
      <c r="F12" s="8" t="s">
        <v>35</v>
      </c>
      <c r="G12" s="8">
        <v>40.712800000000001</v>
      </c>
      <c r="H12" s="8">
        <v>-74.006</v>
      </c>
      <c r="I12" s="8">
        <v>2021</v>
      </c>
      <c r="J12" s="8">
        <v>71884</v>
      </c>
      <c r="K12" s="8">
        <v>21952</v>
      </c>
      <c r="L12" s="8">
        <v>2291413</v>
      </c>
      <c r="M12" s="8">
        <v>9.5</v>
      </c>
      <c r="N12" s="8">
        <v>12.2</v>
      </c>
      <c r="O12" s="8">
        <v>223400</v>
      </c>
      <c r="P12" s="8">
        <v>30.54</v>
      </c>
      <c r="Q12" s="8"/>
      <c r="R12" s="8"/>
      <c r="S12" s="8">
        <v>43.12</v>
      </c>
    </row>
    <row r="13" spans="1:21" x14ac:dyDescent="0.3">
      <c r="A13" s="8">
        <v>3</v>
      </c>
      <c r="B13" s="8" t="s">
        <v>40</v>
      </c>
      <c r="C13" s="8" t="s">
        <v>41</v>
      </c>
      <c r="D13" s="8" t="s">
        <v>33</v>
      </c>
      <c r="E13" s="8" t="s">
        <v>34</v>
      </c>
      <c r="F13" s="8" t="s">
        <v>35</v>
      </c>
      <c r="G13" s="8">
        <v>40.712800000000001</v>
      </c>
      <c r="H13" s="8">
        <v>-74.006</v>
      </c>
      <c r="I13" s="8">
        <v>2022</v>
      </c>
      <c r="J13" s="8">
        <v>75338</v>
      </c>
      <c r="K13" s="8">
        <v>14845</v>
      </c>
      <c r="L13" s="8">
        <v>2416676</v>
      </c>
      <c r="M13" s="8">
        <v>6</v>
      </c>
      <c r="N13" s="8">
        <v>13</v>
      </c>
      <c r="O13" s="8">
        <v>240000</v>
      </c>
      <c r="P13" s="8">
        <v>19.7</v>
      </c>
      <c r="Q13" s="8">
        <v>4.8</v>
      </c>
      <c r="R13" s="8">
        <v>-32.380000000000003</v>
      </c>
      <c r="S13" s="8">
        <v>39.39</v>
      </c>
    </row>
    <row r="14" spans="1:21" x14ac:dyDescent="0.3">
      <c r="A14" s="8">
        <v>3</v>
      </c>
      <c r="B14" s="8" t="s">
        <v>40</v>
      </c>
      <c r="C14" s="8" t="s">
        <v>41</v>
      </c>
      <c r="D14" s="8" t="s">
        <v>33</v>
      </c>
      <c r="E14" s="8" t="s">
        <v>34</v>
      </c>
      <c r="F14" s="8" t="s">
        <v>35</v>
      </c>
      <c r="G14" s="8">
        <v>40.712800000000001</v>
      </c>
      <c r="H14" s="8">
        <v>-74.006</v>
      </c>
      <c r="I14" s="8">
        <v>2023</v>
      </c>
      <c r="J14" s="8">
        <v>78462</v>
      </c>
      <c r="K14" s="8">
        <v>9227</v>
      </c>
      <c r="L14" s="8">
        <v>2411800</v>
      </c>
      <c r="M14" s="8">
        <v>4</v>
      </c>
      <c r="N14" s="8">
        <v>13.4</v>
      </c>
      <c r="O14" s="8">
        <v>239000</v>
      </c>
      <c r="P14" s="8">
        <v>11.76</v>
      </c>
      <c r="Q14" s="8">
        <v>4.1500000000000004</v>
      </c>
      <c r="R14" s="8">
        <v>-37.840000000000003</v>
      </c>
      <c r="S14" s="8">
        <v>15</v>
      </c>
    </row>
    <row r="15" spans="1:21" x14ac:dyDescent="0.3">
      <c r="A15" s="8">
        <v>3</v>
      </c>
      <c r="B15" s="8" t="s">
        <v>40</v>
      </c>
      <c r="C15" s="8" t="s">
        <v>41</v>
      </c>
      <c r="D15" s="8" t="s">
        <v>33</v>
      </c>
      <c r="E15" s="8" t="s">
        <v>34</v>
      </c>
      <c r="F15" s="8" t="s">
        <v>35</v>
      </c>
      <c r="G15" s="8">
        <v>40.712800000000001</v>
      </c>
      <c r="H15" s="8">
        <v>-74.006</v>
      </c>
      <c r="I15" s="8">
        <v>2024</v>
      </c>
      <c r="J15" s="8">
        <v>80707</v>
      </c>
      <c r="K15" s="8">
        <v>12700</v>
      </c>
      <c r="L15" s="8">
        <v>2352700</v>
      </c>
      <c r="M15" s="8">
        <v>6.1</v>
      </c>
      <c r="N15" s="8">
        <v>13.6</v>
      </c>
      <c r="O15" s="8">
        <v>229000</v>
      </c>
      <c r="P15" s="8">
        <v>15.74</v>
      </c>
      <c r="Q15" s="8">
        <v>2.86</v>
      </c>
      <c r="R15" s="8">
        <v>37.64</v>
      </c>
      <c r="S15" s="8">
        <v>39.5</v>
      </c>
    </row>
    <row r="16" spans="1:21" x14ac:dyDescent="0.3">
      <c r="A16" s="8">
        <v>3</v>
      </c>
      <c r="B16" s="8" t="s">
        <v>40</v>
      </c>
      <c r="C16" s="8" t="s">
        <v>41</v>
      </c>
      <c r="D16" s="8" t="s">
        <v>33</v>
      </c>
      <c r="E16" s="8" t="s">
        <v>34</v>
      </c>
      <c r="F16" s="8" t="s">
        <v>35</v>
      </c>
      <c r="G16" s="8">
        <v>40.712800000000001</v>
      </c>
      <c r="H16" s="8">
        <v>-74.006</v>
      </c>
      <c r="I16" s="8">
        <v>2025</v>
      </c>
      <c r="J16" s="8">
        <v>85200</v>
      </c>
      <c r="K16" s="8">
        <v>14300</v>
      </c>
      <c r="L16" s="8">
        <v>2480000</v>
      </c>
      <c r="M16" s="8">
        <v>6.8</v>
      </c>
      <c r="N16" s="8">
        <v>13.5</v>
      </c>
      <c r="O16" s="8">
        <v>223000</v>
      </c>
      <c r="P16" s="8">
        <v>16.78</v>
      </c>
      <c r="Q16" s="8">
        <v>5.57</v>
      </c>
      <c r="R16" s="8">
        <v>12.6</v>
      </c>
      <c r="S16" s="8">
        <v>18.98</v>
      </c>
    </row>
    <row r="17" spans="1:19" x14ac:dyDescent="0.3">
      <c r="A17" s="8">
        <v>4</v>
      </c>
      <c r="B17" s="8" t="s">
        <v>42</v>
      </c>
      <c r="C17" s="8" t="s">
        <v>43</v>
      </c>
      <c r="D17" s="8" t="s">
        <v>33</v>
      </c>
      <c r="E17" s="8" t="s">
        <v>34</v>
      </c>
      <c r="F17" s="8" t="s">
        <v>44</v>
      </c>
      <c r="G17" s="8">
        <v>37.774900000000002</v>
      </c>
      <c r="H17" s="8">
        <v>-122.4194</v>
      </c>
      <c r="I17" s="8">
        <v>2021</v>
      </c>
      <c r="J17" s="8">
        <v>78492</v>
      </c>
      <c r="K17" s="8">
        <v>21548</v>
      </c>
      <c r="L17" s="8">
        <v>1948068</v>
      </c>
      <c r="M17" s="8">
        <v>10.5</v>
      </c>
      <c r="N17" s="8">
        <v>11</v>
      </c>
      <c r="O17" s="8">
        <v>238696</v>
      </c>
      <c r="P17" s="8">
        <v>27.45</v>
      </c>
      <c r="Q17" s="8"/>
      <c r="R17" s="8"/>
      <c r="S17" s="8">
        <v>36.21</v>
      </c>
    </row>
    <row r="18" spans="1:19" x14ac:dyDescent="0.3">
      <c r="A18" s="8">
        <v>4</v>
      </c>
      <c r="B18" s="8" t="s">
        <v>42</v>
      </c>
      <c r="C18" s="8" t="s">
        <v>43</v>
      </c>
      <c r="D18" s="8" t="s">
        <v>33</v>
      </c>
      <c r="E18" s="8" t="s">
        <v>34</v>
      </c>
      <c r="F18" s="8" t="s">
        <v>44</v>
      </c>
      <c r="G18" s="8">
        <v>37.774900000000002</v>
      </c>
      <c r="H18" s="8">
        <v>-122.4194</v>
      </c>
      <c r="I18" s="8">
        <v>2022</v>
      </c>
      <c r="J18" s="8">
        <v>73785</v>
      </c>
      <c r="K18" s="8">
        <v>13166</v>
      </c>
      <c r="L18" s="8">
        <v>1881017</v>
      </c>
      <c r="M18" s="8">
        <v>6.4</v>
      </c>
      <c r="N18" s="8">
        <v>10.8</v>
      </c>
      <c r="O18" s="8">
        <v>238472</v>
      </c>
      <c r="P18" s="8">
        <v>17.84</v>
      </c>
      <c r="Q18" s="8">
        <v>-6</v>
      </c>
      <c r="R18" s="8">
        <v>-38.9</v>
      </c>
      <c r="S18" s="8">
        <v>21.73</v>
      </c>
    </row>
    <row r="19" spans="1:19" x14ac:dyDescent="0.3">
      <c r="A19" s="8">
        <v>4</v>
      </c>
      <c r="B19" s="8" t="s">
        <v>42</v>
      </c>
      <c r="C19" s="8" t="s">
        <v>43</v>
      </c>
      <c r="D19" s="8" t="s">
        <v>33</v>
      </c>
      <c r="E19" s="8" t="s">
        <v>34</v>
      </c>
      <c r="F19" s="8" t="s">
        <v>44</v>
      </c>
      <c r="G19" s="8">
        <v>37.774900000000002</v>
      </c>
      <c r="H19" s="8">
        <v>-122.4194</v>
      </c>
      <c r="I19" s="8">
        <v>2023</v>
      </c>
      <c r="J19" s="8">
        <v>82594</v>
      </c>
      <c r="K19" s="8">
        <v>19142</v>
      </c>
      <c r="L19" s="8">
        <v>1932469</v>
      </c>
      <c r="M19" s="8">
        <v>10</v>
      </c>
      <c r="N19" s="8">
        <v>11.4</v>
      </c>
      <c r="O19" s="8">
        <v>226400</v>
      </c>
      <c r="P19" s="8">
        <v>23.18</v>
      </c>
      <c r="Q19" s="8">
        <v>11.94</v>
      </c>
      <c r="R19" s="8">
        <v>45.39</v>
      </c>
      <c r="S19" s="8">
        <v>24.2</v>
      </c>
    </row>
    <row r="20" spans="1:19" x14ac:dyDescent="0.3">
      <c r="A20" s="8">
        <v>4</v>
      </c>
      <c r="B20" s="8" t="s">
        <v>42</v>
      </c>
      <c r="C20" s="8" t="s">
        <v>43</v>
      </c>
      <c r="D20" s="8" t="s">
        <v>33</v>
      </c>
      <c r="E20" s="8" t="s">
        <v>34</v>
      </c>
      <c r="F20" s="8" t="s">
        <v>44</v>
      </c>
      <c r="G20" s="8">
        <v>37.774900000000002</v>
      </c>
      <c r="H20" s="8">
        <v>-122.4194</v>
      </c>
      <c r="I20" s="8">
        <v>2024</v>
      </c>
      <c r="J20" s="8">
        <v>82300</v>
      </c>
      <c r="K20" s="8">
        <v>19696</v>
      </c>
      <c r="L20" s="8">
        <v>1929753</v>
      </c>
      <c r="M20" s="8">
        <v>11.6</v>
      </c>
      <c r="N20" s="8">
        <v>11.1</v>
      </c>
      <c r="O20" s="8">
        <v>215637</v>
      </c>
      <c r="P20" s="8">
        <v>23.93</v>
      </c>
      <c r="Q20" s="8">
        <v>-0.36</v>
      </c>
      <c r="R20" s="8">
        <v>2.89</v>
      </c>
      <c r="S20" s="8">
        <v>38.64</v>
      </c>
    </row>
    <row r="21" spans="1:19" x14ac:dyDescent="0.3">
      <c r="A21" s="8">
        <v>4</v>
      </c>
      <c r="B21" s="8" t="s">
        <v>42</v>
      </c>
      <c r="C21" s="8" t="s">
        <v>43</v>
      </c>
      <c r="D21" s="8" t="s">
        <v>33</v>
      </c>
      <c r="E21" s="8" t="s">
        <v>34</v>
      </c>
      <c r="F21" s="8" t="s">
        <v>44</v>
      </c>
      <c r="G21" s="8">
        <v>37.774900000000002</v>
      </c>
      <c r="H21" s="8">
        <v>-122.4194</v>
      </c>
      <c r="I21" s="8">
        <v>2025</v>
      </c>
      <c r="J21" s="8">
        <v>83700</v>
      </c>
      <c r="K21" s="8">
        <v>21300</v>
      </c>
      <c r="L21" s="8">
        <v>1950000</v>
      </c>
      <c r="M21" s="8">
        <v>12.3</v>
      </c>
      <c r="N21" s="8">
        <v>11.3</v>
      </c>
      <c r="O21" s="8">
        <v>210000</v>
      </c>
      <c r="P21" s="8">
        <v>25.45</v>
      </c>
      <c r="Q21" s="8">
        <v>1.7</v>
      </c>
      <c r="R21" s="8">
        <v>8.14</v>
      </c>
      <c r="S21" s="8">
        <v>33.590000000000003</v>
      </c>
    </row>
    <row r="22" spans="1:19" x14ac:dyDescent="0.3">
      <c r="A22" s="8">
        <v>5</v>
      </c>
      <c r="B22" s="8" t="s">
        <v>45</v>
      </c>
      <c r="C22" s="8" t="s">
        <v>46</v>
      </c>
      <c r="D22" s="8" t="s">
        <v>33</v>
      </c>
      <c r="E22" s="8" t="s">
        <v>34</v>
      </c>
      <c r="F22" s="8" t="s">
        <v>35</v>
      </c>
      <c r="G22" s="8">
        <v>40.712800000000001</v>
      </c>
      <c r="H22" s="8">
        <v>-74.006</v>
      </c>
      <c r="I22" s="8">
        <v>2021</v>
      </c>
      <c r="J22" s="8">
        <v>59339</v>
      </c>
      <c r="K22" s="8">
        <v>21635</v>
      </c>
      <c r="L22" s="8">
        <v>1463988</v>
      </c>
      <c r="M22" s="8">
        <v>23</v>
      </c>
      <c r="N22" s="8">
        <v>13.1</v>
      </c>
      <c r="O22" s="8">
        <v>43900</v>
      </c>
      <c r="P22" s="8">
        <v>36.46</v>
      </c>
      <c r="Q22" s="8"/>
      <c r="R22" s="8"/>
      <c r="S22" s="8">
        <v>76.69</v>
      </c>
    </row>
    <row r="23" spans="1:19" x14ac:dyDescent="0.3">
      <c r="A23" s="8">
        <v>5</v>
      </c>
      <c r="B23" s="8" t="s">
        <v>45</v>
      </c>
      <c r="C23" s="8" t="s">
        <v>46</v>
      </c>
      <c r="D23" s="8" t="s">
        <v>33</v>
      </c>
      <c r="E23" s="8" t="s">
        <v>34</v>
      </c>
      <c r="F23" s="8" t="s">
        <v>35</v>
      </c>
      <c r="G23" s="8">
        <v>40.712800000000001</v>
      </c>
      <c r="H23" s="8">
        <v>-74.006</v>
      </c>
      <c r="I23" s="8">
        <v>2022</v>
      </c>
      <c r="J23" s="8">
        <v>47365</v>
      </c>
      <c r="K23" s="8">
        <v>11261</v>
      </c>
      <c r="L23" s="8">
        <v>1441829</v>
      </c>
      <c r="M23" s="8">
        <v>10.199999999999999</v>
      </c>
      <c r="N23" s="8">
        <v>14</v>
      </c>
      <c r="O23" s="8">
        <v>49100</v>
      </c>
      <c r="P23" s="8">
        <v>23.77</v>
      </c>
      <c r="Q23" s="8">
        <v>-20.18</v>
      </c>
      <c r="R23" s="8">
        <v>-47.95</v>
      </c>
      <c r="S23" s="8">
        <v>58.28</v>
      </c>
    </row>
    <row r="24" spans="1:19" x14ac:dyDescent="0.3">
      <c r="A24" s="8">
        <v>5</v>
      </c>
      <c r="B24" s="8" t="s">
        <v>45</v>
      </c>
      <c r="C24" s="8" t="s">
        <v>46</v>
      </c>
      <c r="D24" s="8" t="s">
        <v>33</v>
      </c>
      <c r="E24" s="8" t="s">
        <v>34</v>
      </c>
      <c r="F24" s="8" t="s">
        <v>35</v>
      </c>
      <c r="G24" s="8">
        <v>40.712800000000001</v>
      </c>
      <c r="H24" s="8">
        <v>-74.006</v>
      </c>
      <c r="I24" s="8">
        <v>2023</v>
      </c>
      <c r="J24" s="8">
        <v>46254</v>
      </c>
      <c r="K24" s="8">
        <v>8516</v>
      </c>
      <c r="L24" s="8">
        <v>1641949</v>
      </c>
      <c r="M24" s="8">
        <v>7.5</v>
      </c>
      <c r="N24" s="8">
        <v>14.6</v>
      </c>
      <c r="O24" s="8">
        <v>45300</v>
      </c>
      <c r="P24" s="8">
        <v>18.41</v>
      </c>
      <c r="Q24" s="8">
        <v>-2.35</v>
      </c>
      <c r="R24" s="8">
        <v>-24.38</v>
      </c>
      <c r="S24" s="8">
        <v>34.590000000000003</v>
      </c>
    </row>
    <row r="25" spans="1:19" x14ac:dyDescent="0.3">
      <c r="A25" s="8">
        <v>5</v>
      </c>
      <c r="B25" s="8" t="s">
        <v>45</v>
      </c>
      <c r="C25" s="8" t="s">
        <v>46</v>
      </c>
      <c r="D25" s="8" t="s">
        <v>33</v>
      </c>
      <c r="E25" s="8" t="s">
        <v>34</v>
      </c>
      <c r="F25" s="8" t="s">
        <v>35</v>
      </c>
      <c r="G25" s="8">
        <v>40.712800000000001</v>
      </c>
      <c r="H25" s="8">
        <v>-74.006</v>
      </c>
      <c r="I25" s="8">
        <v>2024</v>
      </c>
      <c r="J25" s="8">
        <v>53510</v>
      </c>
      <c r="K25" s="8">
        <v>14281</v>
      </c>
      <c r="L25" s="8">
        <v>1761661</v>
      </c>
      <c r="M25" s="8">
        <v>12.7</v>
      </c>
      <c r="N25" s="8">
        <v>15</v>
      </c>
      <c r="O25" s="8">
        <v>46500</v>
      </c>
      <c r="P25" s="8">
        <v>26.69</v>
      </c>
      <c r="Q25" s="8">
        <v>15.69</v>
      </c>
      <c r="R25" s="8">
        <v>67.7</v>
      </c>
      <c r="S25" s="8">
        <v>75.08</v>
      </c>
    </row>
    <row r="26" spans="1:19" x14ac:dyDescent="0.3">
      <c r="A26" s="8">
        <v>5</v>
      </c>
      <c r="B26" s="8" t="s">
        <v>45</v>
      </c>
      <c r="C26" s="8" t="s">
        <v>46</v>
      </c>
      <c r="D26" s="8" t="s">
        <v>33</v>
      </c>
      <c r="E26" s="8" t="s">
        <v>34</v>
      </c>
      <c r="F26" s="8" t="s">
        <v>35</v>
      </c>
      <c r="G26" s="8">
        <v>40.712800000000001</v>
      </c>
      <c r="H26" s="8">
        <v>-74.006</v>
      </c>
      <c r="I26" s="8">
        <v>2025</v>
      </c>
      <c r="J26" s="8">
        <v>58280</v>
      </c>
      <c r="K26" s="8">
        <v>17180</v>
      </c>
      <c r="L26" s="8">
        <v>1850000</v>
      </c>
      <c r="M26" s="8">
        <v>15</v>
      </c>
      <c r="N26" s="8">
        <v>15</v>
      </c>
      <c r="O26" s="8">
        <v>47500</v>
      </c>
      <c r="P26" s="8">
        <v>29.48</v>
      </c>
      <c r="Q26" s="8">
        <v>8.91</v>
      </c>
      <c r="R26" s="8">
        <v>20.3</v>
      </c>
      <c r="S26" s="8">
        <v>74.95</v>
      </c>
    </row>
    <row r="27" spans="1:19" x14ac:dyDescent="0.3">
      <c r="A27" s="8">
        <v>6</v>
      </c>
      <c r="B27" s="8" t="s">
        <v>47</v>
      </c>
      <c r="C27" s="8" t="s">
        <v>48</v>
      </c>
      <c r="D27" s="8" t="s">
        <v>49</v>
      </c>
      <c r="E27" s="8" t="s">
        <v>50</v>
      </c>
      <c r="F27" s="8" t="s">
        <v>51</v>
      </c>
      <c r="G27" s="8">
        <v>48.8566</v>
      </c>
      <c r="H27" s="8">
        <v>2.3521999999999998</v>
      </c>
      <c r="I27" s="8">
        <v>2021</v>
      </c>
      <c r="J27" s="8">
        <v>52442.39</v>
      </c>
      <c r="K27" s="8">
        <v>11224.3</v>
      </c>
      <c r="L27" s="8">
        <v>3115284.99</v>
      </c>
      <c r="M27" s="8">
        <v>8.3000000000000007</v>
      </c>
      <c r="N27" s="8">
        <v>12.9</v>
      </c>
      <c r="O27" s="8">
        <v>190000</v>
      </c>
      <c r="P27" s="8">
        <v>21.4</v>
      </c>
      <c r="Q27" s="8"/>
      <c r="R27" s="8"/>
      <c r="S27" s="8">
        <v>38.700000000000003</v>
      </c>
    </row>
    <row r="28" spans="1:19" x14ac:dyDescent="0.3">
      <c r="A28" s="8">
        <v>6</v>
      </c>
      <c r="B28" s="8" t="s">
        <v>47</v>
      </c>
      <c r="C28" s="8" t="s">
        <v>48</v>
      </c>
      <c r="D28" s="8" t="s">
        <v>49</v>
      </c>
      <c r="E28" s="8" t="s">
        <v>50</v>
      </c>
      <c r="F28" s="8" t="s">
        <v>51</v>
      </c>
      <c r="G28" s="8">
        <v>48.8566</v>
      </c>
      <c r="H28" s="8">
        <v>2.3521999999999998</v>
      </c>
      <c r="I28" s="8">
        <v>2022</v>
      </c>
      <c r="J28" s="8">
        <v>48631.75</v>
      </c>
      <c r="K28" s="8">
        <v>10736.39</v>
      </c>
      <c r="L28" s="8">
        <v>2807574.94</v>
      </c>
      <c r="M28" s="8">
        <v>9.8000000000000007</v>
      </c>
      <c r="N28" s="8">
        <v>12.3</v>
      </c>
      <c r="O28" s="8">
        <v>190000</v>
      </c>
      <c r="P28" s="8">
        <v>22.08</v>
      </c>
      <c r="Q28" s="8">
        <v>-7.27</v>
      </c>
      <c r="R28" s="8">
        <v>-4.3499999999999996</v>
      </c>
      <c r="S28" s="8">
        <v>48.42</v>
      </c>
    </row>
    <row r="29" spans="1:19" x14ac:dyDescent="0.3">
      <c r="A29" s="8">
        <v>6</v>
      </c>
      <c r="B29" s="8" t="s">
        <v>47</v>
      </c>
      <c r="C29" s="8" t="s">
        <v>48</v>
      </c>
      <c r="D29" s="8" t="s">
        <v>49</v>
      </c>
      <c r="E29" s="8" t="s">
        <v>50</v>
      </c>
      <c r="F29" s="8" t="s">
        <v>51</v>
      </c>
      <c r="G29" s="8">
        <v>48.8566</v>
      </c>
      <c r="H29" s="8">
        <v>2.3521999999999998</v>
      </c>
      <c r="I29" s="8">
        <v>2023</v>
      </c>
      <c r="J29" s="8">
        <v>49224.51</v>
      </c>
      <c r="K29" s="8">
        <v>12006.95</v>
      </c>
      <c r="L29" s="8">
        <v>2804099.3</v>
      </c>
      <c r="M29" s="8">
        <v>9.5</v>
      </c>
      <c r="N29" s="8">
        <v>13.2</v>
      </c>
      <c r="O29" s="8">
        <v>183000</v>
      </c>
      <c r="P29" s="8">
        <v>24.39</v>
      </c>
      <c r="Q29" s="8">
        <v>1.22</v>
      </c>
      <c r="R29" s="8">
        <v>11.83</v>
      </c>
      <c r="S29" s="8">
        <v>33.869999999999997</v>
      </c>
    </row>
    <row r="30" spans="1:19" x14ac:dyDescent="0.3">
      <c r="A30" s="8">
        <v>6</v>
      </c>
      <c r="B30" s="8" t="s">
        <v>47</v>
      </c>
      <c r="C30" s="8" t="s">
        <v>48</v>
      </c>
      <c r="D30" s="8" t="s">
        <v>49</v>
      </c>
      <c r="E30" s="8" t="s">
        <v>50</v>
      </c>
      <c r="F30" s="8" t="s">
        <v>51</v>
      </c>
      <c r="G30" s="8">
        <v>48.8566</v>
      </c>
      <c r="H30" s="8">
        <v>2.3521999999999998</v>
      </c>
      <c r="I30" s="8">
        <v>2024</v>
      </c>
      <c r="J30" s="8">
        <v>52828.65</v>
      </c>
      <c r="K30" s="8">
        <v>12646.42</v>
      </c>
      <c r="L30" s="8">
        <v>2806659.31</v>
      </c>
      <c r="M30" s="8">
        <v>11.5</v>
      </c>
      <c r="N30" s="8">
        <v>12.7</v>
      </c>
      <c r="O30" s="8">
        <v>178000</v>
      </c>
      <c r="P30" s="8">
        <v>23.94</v>
      </c>
      <c r="Q30" s="8">
        <v>7.32</v>
      </c>
      <c r="R30" s="8">
        <v>5.33</v>
      </c>
      <c r="S30" s="8">
        <v>48.27</v>
      </c>
    </row>
    <row r="31" spans="1:19" x14ac:dyDescent="0.3">
      <c r="A31" s="8">
        <v>6</v>
      </c>
      <c r="B31" s="8" t="s">
        <v>47</v>
      </c>
      <c r="C31" s="8" t="s">
        <v>48</v>
      </c>
      <c r="D31" s="8" t="s">
        <v>49</v>
      </c>
      <c r="E31" s="8" t="s">
        <v>50</v>
      </c>
      <c r="F31" s="8" t="s">
        <v>51</v>
      </c>
      <c r="G31" s="8">
        <v>48.8566</v>
      </c>
      <c r="H31" s="8">
        <v>2.3521999999999998</v>
      </c>
      <c r="I31" s="8">
        <v>2025</v>
      </c>
      <c r="J31" s="8">
        <v>55320.84</v>
      </c>
      <c r="K31" s="8">
        <v>13203</v>
      </c>
      <c r="L31" s="8">
        <v>2916000</v>
      </c>
      <c r="M31" s="8">
        <v>11.6</v>
      </c>
      <c r="N31" s="8">
        <v>12.6</v>
      </c>
      <c r="O31" s="8">
        <v>178000</v>
      </c>
      <c r="P31" s="8">
        <v>23.87</v>
      </c>
      <c r="Q31" s="8">
        <v>4.72</v>
      </c>
      <c r="R31" s="8">
        <v>4.4000000000000004</v>
      </c>
      <c r="S31" s="8">
        <v>37.35</v>
      </c>
    </row>
    <row r="32" spans="1:19" x14ac:dyDescent="0.3">
      <c r="A32" s="8">
        <v>7</v>
      </c>
      <c r="B32" s="8" t="s">
        <v>53</v>
      </c>
      <c r="C32" s="8" t="s">
        <v>54</v>
      </c>
      <c r="D32" s="8" t="s">
        <v>55</v>
      </c>
      <c r="E32" s="8" t="s">
        <v>50</v>
      </c>
      <c r="F32" s="8" t="s">
        <v>56</v>
      </c>
      <c r="G32" s="8">
        <v>40.416800000000002</v>
      </c>
      <c r="H32" s="8">
        <v>-3.7038000000000002</v>
      </c>
      <c r="I32" s="8">
        <v>2021</v>
      </c>
      <c r="J32" s="8">
        <v>54382.51</v>
      </c>
      <c r="K32" s="8">
        <v>9610.69</v>
      </c>
      <c r="L32" s="8">
        <v>1905781.06</v>
      </c>
      <c r="M32" s="8">
        <v>11.1</v>
      </c>
      <c r="N32" s="8">
        <v>11.9</v>
      </c>
      <c r="O32" s="8">
        <v>191589</v>
      </c>
      <c r="P32" s="8">
        <v>17.670000000000002</v>
      </c>
      <c r="Q32" s="8"/>
      <c r="R32" s="8"/>
      <c r="S32" s="8">
        <v>35.75</v>
      </c>
    </row>
    <row r="33" spans="1:19" x14ac:dyDescent="0.3">
      <c r="A33" s="8">
        <v>7</v>
      </c>
      <c r="B33" s="8" t="s">
        <v>53</v>
      </c>
      <c r="C33" s="8" t="s">
        <v>54</v>
      </c>
      <c r="D33" s="8" t="s">
        <v>55</v>
      </c>
      <c r="E33" s="8" t="s">
        <v>50</v>
      </c>
      <c r="F33" s="8" t="s">
        <v>56</v>
      </c>
      <c r="G33" s="8">
        <v>40.416800000000002</v>
      </c>
      <c r="H33" s="8">
        <v>-3.7038000000000002</v>
      </c>
      <c r="I33" s="8">
        <v>2022</v>
      </c>
      <c r="J33" s="8">
        <v>54978.18</v>
      </c>
      <c r="K33" s="8">
        <v>10114.06</v>
      </c>
      <c r="L33" s="8">
        <v>1826595.93</v>
      </c>
      <c r="M33" s="8">
        <v>13.4</v>
      </c>
      <c r="N33" s="8">
        <v>12</v>
      </c>
      <c r="O33" s="8">
        <v>212764</v>
      </c>
      <c r="P33" s="8">
        <v>18.399999999999999</v>
      </c>
      <c r="Q33" s="8">
        <v>1.1000000000000001</v>
      </c>
      <c r="R33" s="8">
        <v>5.24</v>
      </c>
      <c r="S33" s="8">
        <v>52.41</v>
      </c>
    </row>
    <row r="34" spans="1:19" x14ac:dyDescent="0.3">
      <c r="A34" s="8">
        <v>7</v>
      </c>
      <c r="B34" s="8" t="s">
        <v>53</v>
      </c>
      <c r="C34" s="8" t="s">
        <v>54</v>
      </c>
      <c r="D34" s="8" t="s">
        <v>55</v>
      </c>
      <c r="E34" s="8" t="s">
        <v>50</v>
      </c>
      <c r="F34" s="8" t="s">
        <v>56</v>
      </c>
      <c r="G34" s="8">
        <v>40.416800000000002</v>
      </c>
      <c r="H34" s="8">
        <v>-3.7038000000000002</v>
      </c>
      <c r="I34" s="8">
        <v>2023</v>
      </c>
      <c r="J34" s="8">
        <v>62118.7</v>
      </c>
      <c r="K34" s="8">
        <v>11984.23</v>
      </c>
      <c r="L34" s="8">
        <v>1944386.46</v>
      </c>
      <c r="M34" s="8">
        <v>14.6</v>
      </c>
      <c r="N34" s="8">
        <v>12.3</v>
      </c>
      <c r="O34" s="8">
        <v>212935</v>
      </c>
      <c r="P34" s="8">
        <v>19.29</v>
      </c>
      <c r="Q34" s="8">
        <v>12.99</v>
      </c>
      <c r="R34" s="8">
        <v>18.489999999999998</v>
      </c>
      <c r="S34" s="8">
        <v>37.97</v>
      </c>
    </row>
    <row r="35" spans="1:19" x14ac:dyDescent="0.3">
      <c r="A35" s="8">
        <v>7</v>
      </c>
      <c r="B35" s="8" t="s">
        <v>53</v>
      </c>
      <c r="C35" s="8" t="s">
        <v>54</v>
      </c>
      <c r="D35" s="8" t="s">
        <v>55</v>
      </c>
      <c r="E35" s="8" t="s">
        <v>50</v>
      </c>
      <c r="F35" s="8" t="s">
        <v>56</v>
      </c>
      <c r="G35" s="8">
        <v>40.416800000000002</v>
      </c>
      <c r="H35" s="8">
        <v>-3.7038000000000002</v>
      </c>
      <c r="I35" s="8">
        <v>2024</v>
      </c>
      <c r="J35" s="8">
        <v>63167.16</v>
      </c>
      <c r="K35" s="8">
        <v>13605.07</v>
      </c>
      <c r="L35" s="8">
        <v>1988957.29</v>
      </c>
      <c r="M35" s="8">
        <v>15.5</v>
      </c>
      <c r="N35" s="8">
        <v>12.8</v>
      </c>
      <c r="O35" s="8">
        <v>217864</v>
      </c>
      <c r="P35" s="8">
        <v>21.54</v>
      </c>
      <c r="Q35" s="8">
        <v>1.69</v>
      </c>
      <c r="R35" s="8">
        <v>13.52</v>
      </c>
      <c r="S35" s="8">
        <v>56.55</v>
      </c>
    </row>
    <row r="36" spans="1:19" x14ac:dyDescent="0.3">
      <c r="A36" s="8">
        <v>7</v>
      </c>
      <c r="B36" s="8" t="s">
        <v>53</v>
      </c>
      <c r="C36" s="8" t="s">
        <v>54</v>
      </c>
      <c r="D36" s="8" t="s">
        <v>55</v>
      </c>
      <c r="E36" s="8" t="s">
        <v>50</v>
      </c>
      <c r="F36" s="8" t="s">
        <v>56</v>
      </c>
      <c r="G36" s="8">
        <v>40.416800000000002</v>
      </c>
      <c r="H36" s="8">
        <v>-3.7038000000000002</v>
      </c>
      <c r="I36" s="8">
        <v>2025</v>
      </c>
      <c r="J36" s="8">
        <v>67392</v>
      </c>
      <c r="K36" s="8">
        <v>15229.08</v>
      </c>
      <c r="L36" s="8">
        <v>2052000</v>
      </c>
      <c r="M36" s="8">
        <v>16.3</v>
      </c>
      <c r="N36" s="8">
        <v>13.5</v>
      </c>
      <c r="O36" s="8">
        <v>220000</v>
      </c>
      <c r="P36" s="8">
        <v>22.6</v>
      </c>
      <c r="Q36" s="8">
        <v>6.69</v>
      </c>
      <c r="R36" s="8">
        <v>11.94</v>
      </c>
      <c r="S36" s="8">
        <v>59.05</v>
      </c>
    </row>
    <row r="37" spans="1:19" x14ac:dyDescent="0.3">
      <c r="A37" s="8">
        <v>8</v>
      </c>
      <c r="B37" s="8" t="s">
        <v>57</v>
      </c>
      <c r="C37" s="8" t="s">
        <v>58</v>
      </c>
      <c r="D37" s="8" t="s">
        <v>59</v>
      </c>
      <c r="E37" s="8" t="s">
        <v>50</v>
      </c>
      <c r="F37" s="8" t="s">
        <v>60</v>
      </c>
      <c r="G37" s="8">
        <v>50.110900000000001</v>
      </c>
      <c r="H37" s="8">
        <v>8.6821000000000002</v>
      </c>
      <c r="I37" s="8">
        <v>2021</v>
      </c>
      <c r="J37" s="8">
        <v>30028.09</v>
      </c>
      <c r="K37" s="8">
        <v>2969.33</v>
      </c>
      <c r="L37" s="8">
        <v>1566128.75</v>
      </c>
      <c r="M37" s="8">
        <v>3.8</v>
      </c>
      <c r="N37" s="8">
        <v>13.2</v>
      </c>
      <c r="O37" s="8">
        <v>84964</v>
      </c>
      <c r="P37" s="8">
        <v>9.89</v>
      </c>
      <c r="Q37" s="8"/>
      <c r="R37" s="8"/>
      <c r="S37" s="8">
        <v>24.44</v>
      </c>
    </row>
    <row r="38" spans="1:19" x14ac:dyDescent="0.3">
      <c r="A38" s="8">
        <v>8</v>
      </c>
      <c r="B38" s="8" t="s">
        <v>57</v>
      </c>
      <c r="C38" s="8" t="s">
        <v>58</v>
      </c>
      <c r="D38" s="8" t="s">
        <v>59</v>
      </c>
      <c r="E38" s="8" t="s">
        <v>50</v>
      </c>
      <c r="F38" s="8" t="s">
        <v>60</v>
      </c>
      <c r="G38" s="8">
        <v>50.110900000000001</v>
      </c>
      <c r="H38" s="8">
        <v>8.6821000000000002</v>
      </c>
      <c r="I38" s="8">
        <v>2022</v>
      </c>
      <c r="J38" s="8">
        <v>28666.87</v>
      </c>
      <c r="K38" s="8">
        <v>5958.93</v>
      </c>
      <c r="L38" s="8">
        <v>1407656.72</v>
      </c>
      <c r="M38" s="8">
        <v>7.9</v>
      </c>
      <c r="N38" s="8">
        <v>13.4</v>
      </c>
      <c r="O38" s="8">
        <v>84955</v>
      </c>
      <c r="P38" s="8">
        <v>20.79</v>
      </c>
      <c r="Q38" s="8">
        <v>-4.53</v>
      </c>
      <c r="R38" s="8">
        <v>100.68</v>
      </c>
      <c r="S38" s="8">
        <v>63.18</v>
      </c>
    </row>
    <row r="39" spans="1:19" x14ac:dyDescent="0.3">
      <c r="A39" s="8">
        <v>8</v>
      </c>
      <c r="B39" s="8" t="s">
        <v>57</v>
      </c>
      <c r="C39" s="8" t="s">
        <v>58</v>
      </c>
      <c r="D39" s="8" t="s">
        <v>59</v>
      </c>
      <c r="E39" s="8" t="s">
        <v>50</v>
      </c>
      <c r="F39" s="8" t="s">
        <v>60</v>
      </c>
      <c r="G39" s="8">
        <v>50.110900000000001</v>
      </c>
      <c r="H39" s="8">
        <v>8.6821000000000002</v>
      </c>
      <c r="I39" s="8">
        <v>2023</v>
      </c>
      <c r="J39" s="8">
        <v>31248.16</v>
      </c>
      <c r="K39" s="8">
        <v>5295.31</v>
      </c>
      <c r="L39" s="8">
        <v>1412467.69</v>
      </c>
      <c r="M39" s="8">
        <v>7.4</v>
      </c>
      <c r="N39" s="8">
        <v>13.7</v>
      </c>
      <c r="O39" s="8">
        <v>90130</v>
      </c>
      <c r="P39" s="8">
        <v>16.95</v>
      </c>
      <c r="Q39" s="8">
        <v>9</v>
      </c>
      <c r="R39" s="8">
        <v>-11.14</v>
      </c>
      <c r="S39" s="8">
        <v>28.42</v>
      </c>
    </row>
    <row r="40" spans="1:19" x14ac:dyDescent="0.3">
      <c r="A40" s="8">
        <v>8</v>
      </c>
      <c r="B40" s="8" t="s">
        <v>57</v>
      </c>
      <c r="C40" s="8" t="s">
        <v>58</v>
      </c>
      <c r="D40" s="8" t="s">
        <v>59</v>
      </c>
      <c r="E40" s="8" t="s">
        <v>50</v>
      </c>
      <c r="F40" s="8" t="s">
        <v>60</v>
      </c>
      <c r="G40" s="8">
        <v>50.110900000000001</v>
      </c>
      <c r="H40" s="8">
        <v>8.6821000000000002</v>
      </c>
      <c r="I40" s="8">
        <v>2024</v>
      </c>
      <c r="J40" s="8">
        <v>32568.2</v>
      </c>
      <c r="K40" s="8">
        <v>2884.61</v>
      </c>
      <c r="L40" s="8">
        <v>1463772.88</v>
      </c>
      <c r="M40" s="8">
        <v>4.7</v>
      </c>
      <c r="N40" s="8">
        <v>13.8</v>
      </c>
      <c r="O40" s="8">
        <v>90261</v>
      </c>
      <c r="P40" s="8">
        <v>8.86</v>
      </c>
      <c r="Q40" s="8">
        <v>4.22</v>
      </c>
      <c r="R40" s="8">
        <v>-45.53</v>
      </c>
      <c r="S40" s="8">
        <v>20.96</v>
      </c>
    </row>
    <row r="41" spans="1:19" x14ac:dyDescent="0.3">
      <c r="A41" s="8">
        <v>8</v>
      </c>
      <c r="B41" s="8" t="s">
        <v>57</v>
      </c>
      <c r="C41" s="8" t="s">
        <v>58</v>
      </c>
      <c r="D41" s="8" t="s">
        <v>59</v>
      </c>
      <c r="E41" s="8" t="s">
        <v>50</v>
      </c>
      <c r="F41" s="8" t="s">
        <v>60</v>
      </c>
      <c r="G41" s="8">
        <v>50.110900000000001</v>
      </c>
      <c r="H41" s="8">
        <v>8.6821000000000002</v>
      </c>
      <c r="I41" s="8">
        <v>2025</v>
      </c>
      <c r="J41" s="8">
        <v>34668</v>
      </c>
      <c r="K41" s="8">
        <v>6609.6</v>
      </c>
      <c r="L41" s="8">
        <v>1512000</v>
      </c>
      <c r="M41" s="8">
        <v>10.3</v>
      </c>
      <c r="N41" s="8">
        <v>14.2</v>
      </c>
      <c r="O41" s="8">
        <v>90000</v>
      </c>
      <c r="P41" s="8">
        <v>19.07</v>
      </c>
      <c r="Q41" s="8">
        <v>6.45</v>
      </c>
      <c r="R41" s="8">
        <v>129.13</v>
      </c>
      <c r="S41" s="8">
        <v>56.4</v>
      </c>
    </row>
    <row r="42" spans="1:19" x14ac:dyDescent="0.3">
      <c r="A42" s="8">
        <v>9</v>
      </c>
      <c r="B42" s="8" t="s">
        <v>61</v>
      </c>
      <c r="C42" s="8" t="s">
        <v>62</v>
      </c>
      <c r="D42" s="8" t="s">
        <v>63</v>
      </c>
      <c r="E42" s="8" t="s">
        <v>50</v>
      </c>
      <c r="F42" s="8" t="s">
        <v>64</v>
      </c>
      <c r="G42" s="8">
        <v>51.507399999999997</v>
      </c>
      <c r="H42" s="8">
        <v>-0.1278</v>
      </c>
      <c r="I42" s="8">
        <v>2021</v>
      </c>
      <c r="J42" s="8">
        <v>30189.439999999999</v>
      </c>
      <c r="K42" s="8">
        <v>7375.36</v>
      </c>
      <c r="L42" s="8">
        <v>1904948.16</v>
      </c>
      <c r="M42" s="8">
        <v>10.4</v>
      </c>
      <c r="N42" s="8">
        <v>15.1</v>
      </c>
      <c r="O42" s="8">
        <v>83500</v>
      </c>
      <c r="P42" s="8">
        <v>24.43</v>
      </c>
      <c r="Q42" s="8"/>
      <c r="R42" s="8"/>
      <c r="S42" s="8">
        <v>56.78</v>
      </c>
    </row>
    <row r="43" spans="1:19" x14ac:dyDescent="0.3">
      <c r="A43" s="8">
        <v>9</v>
      </c>
      <c r="B43" s="8" t="s">
        <v>61</v>
      </c>
      <c r="C43" s="8" t="s">
        <v>62</v>
      </c>
      <c r="D43" s="8" t="s">
        <v>63</v>
      </c>
      <c r="E43" s="8" t="s">
        <v>50</v>
      </c>
      <c r="F43" s="8" t="s">
        <v>64</v>
      </c>
      <c r="G43" s="8">
        <v>51.507399999999997</v>
      </c>
      <c r="H43" s="8">
        <v>-0.1278</v>
      </c>
      <c r="I43" s="8">
        <v>2022</v>
      </c>
      <c r="J43" s="8">
        <v>30844.6</v>
      </c>
      <c r="K43" s="8">
        <v>4374.03</v>
      </c>
      <c r="L43" s="8">
        <v>1907595.02</v>
      </c>
      <c r="M43" s="8">
        <v>9.9</v>
      </c>
      <c r="N43" s="8">
        <v>13.9</v>
      </c>
      <c r="O43" s="8">
        <v>86600</v>
      </c>
      <c r="P43" s="8">
        <v>14.18</v>
      </c>
      <c r="Q43" s="8">
        <v>2.17</v>
      </c>
      <c r="R43" s="8">
        <v>-40.69</v>
      </c>
      <c r="S43" s="8">
        <v>49.18</v>
      </c>
    </row>
    <row r="44" spans="1:19" x14ac:dyDescent="0.3">
      <c r="A44" s="8">
        <v>9</v>
      </c>
      <c r="B44" s="8" t="s">
        <v>61</v>
      </c>
      <c r="C44" s="8" t="s">
        <v>62</v>
      </c>
      <c r="D44" s="8" t="s">
        <v>63</v>
      </c>
      <c r="E44" s="8" t="s">
        <v>50</v>
      </c>
      <c r="F44" s="8" t="s">
        <v>64</v>
      </c>
      <c r="G44" s="8">
        <v>51.507399999999997</v>
      </c>
      <c r="H44" s="8">
        <v>-0.1278</v>
      </c>
      <c r="I44" s="8">
        <v>2023</v>
      </c>
      <c r="J44" s="8">
        <v>31562.77</v>
      </c>
      <c r="K44" s="8">
        <v>6575.78</v>
      </c>
      <c r="L44" s="8">
        <v>1933442.22</v>
      </c>
      <c r="M44" s="8">
        <v>10.6</v>
      </c>
      <c r="N44" s="8">
        <v>13.8</v>
      </c>
      <c r="O44" s="8">
        <v>87400</v>
      </c>
      <c r="P44" s="8">
        <v>20.83</v>
      </c>
      <c r="Q44" s="8">
        <v>2.33</v>
      </c>
      <c r="R44" s="8">
        <v>50.34</v>
      </c>
      <c r="S44" s="8">
        <v>41.72</v>
      </c>
    </row>
    <row r="45" spans="1:19" x14ac:dyDescent="0.3">
      <c r="A45" s="8">
        <v>9</v>
      </c>
      <c r="B45" s="8" t="s">
        <v>61</v>
      </c>
      <c r="C45" s="8" t="s">
        <v>62</v>
      </c>
      <c r="D45" s="8" t="s">
        <v>63</v>
      </c>
      <c r="E45" s="8" t="s">
        <v>50</v>
      </c>
      <c r="F45" s="8" t="s">
        <v>64</v>
      </c>
      <c r="G45" s="8">
        <v>51.507399999999997</v>
      </c>
      <c r="H45" s="8">
        <v>-0.1278</v>
      </c>
      <c r="I45" s="8">
        <v>2024</v>
      </c>
      <c r="J45" s="8">
        <v>34241.449999999997</v>
      </c>
      <c r="K45" s="8">
        <v>6781.07</v>
      </c>
      <c r="L45" s="8">
        <v>1938213.52</v>
      </c>
      <c r="M45" s="8">
        <v>10.5</v>
      </c>
      <c r="N45" s="8">
        <v>13.6</v>
      </c>
      <c r="O45" s="8">
        <v>90000</v>
      </c>
      <c r="P45" s="8">
        <v>19.8</v>
      </c>
      <c r="Q45" s="8">
        <v>8.49</v>
      </c>
      <c r="R45" s="8">
        <v>3.12</v>
      </c>
      <c r="S45" s="8">
        <v>47.76</v>
      </c>
    </row>
    <row r="46" spans="1:19" x14ac:dyDescent="0.3">
      <c r="A46" s="8">
        <v>9</v>
      </c>
      <c r="B46" s="8" t="s">
        <v>61</v>
      </c>
      <c r="C46" s="8" t="s">
        <v>62</v>
      </c>
      <c r="D46" s="8" t="s">
        <v>63</v>
      </c>
      <c r="E46" s="8" t="s">
        <v>50</v>
      </c>
      <c r="F46" s="8" t="s">
        <v>64</v>
      </c>
      <c r="G46" s="8">
        <v>51.507399999999997</v>
      </c>
      <c r="H46" s="8">
        <v>-0.1278</v>
      </c>
      <c r="I46" s="8">
        <v>2025</v>
      </c>
      <c r="J46" s="8">
        <v>37299.199999999997</v>
      </c>
      <c r="K46" s="8">
        <v>7904</v>
      </c>
      <c r="L46" s="8">
        <v>2048000</v>
      </c>
      <c r="M46" s="8">
        <v>11.3</v>
      </c>
      <c r="N46" s="8">
        <v>14.3</v>
      </c>
      <c r="O46" s="8">
        <v>92000</v>
      </c>
      <c r="P46" s="8">
        <v>21.19</v>
      </c>
      <c r="Q46" s="8">
        <v>8.93</v>
      </c>
      <c r="R46" s="8">
        <v>16.559999999999999</v>
      </c>
      <c r="S46" s="8">
        <v>46.17</v>
      </c>
    </row>
    <row r="47" spans="1:19" x14ac:dyDescent="0.3">
      <c r="A47" s="8">
        <v>10</v>
      </c>
      <c r="B47" s="8" t="s">
        <v>66</v>
      </c>
      <c r="C47" s="8" t="s">
        <v>67</v>
      </c>
      <c r="D47" s="8" t="s">
        <v>68</v>
      </c>
      <c r="E47" s="8" t="s">
        <v>50</v>
      </c>
      <c r="F47" s="8" t="s">
        <v>69</v>
      </c>
      <c r="G47" s="8">
        <v>47.376899999999999</v>
      </c>
      <c r="H47" s="8">
        <v>8.5417000000000005</v>
      </c>
      <c r="I47" s="8">
        <v>2021</v>
      </c>
      <c r="J47" s="8">
        <v>36818</v>
      </c>
      <c r="K47" s="8">
        <v>7457</v>
      </c>
      <c r="L47" s="8">
        <v>1131407</v>
      </c>
      <c r="M47" s="8">
        <v>13.9</v>
      </c>
      <c r="N47" s="8">
        <v>14.9</v>
      </c>
      <c r="O47" s="8">
        <v>71224</v>
      </c>
      <c r="P47" s="8">
        <v>20.25</v>
      </c>
      <c r="Q47" s="8"/>
      <c r="R47" s="8"/>
      <c r="S47" s="8">
        <v>59.25</v>
      </c>
    </row>
    <row r="48" spans="1:19" x14ac:dyDescent="0.3">
      <c r="A48" s="8">
        <v>10</v>
      </c>
      <c r="B48" s="8" t="s">
        <v>66</v>
      </c>
      <c r="C48" s="8" t="s">
        <v>67</v>
      </c>
      <c r="D48" s="8" t="s">
        <v>68</v>
      </c>
      <c r="E48" s="8" t="s">
        <v>50</v>
      </c>
      <c r="F48" s="8" t="s">
        <v>69</v>
      </c>
      <c r="G48" s="8">
        <v>47.376899999999999</v>
      </c>
      <c r="H48" s="8">
        <v>8.5417000000000005</v>
      </c>
      <c r="I48" s="8">
        <v>2022</v>
      </c>
      <c r="J48" s="8">
        <v>35728</v>
      </c>
      <c r="K48" s="8">
        <v>7626</v>
      </c>
      <c r="L48" s="8">
        <v>1104369</v>
      </c>
      <c r="M48" s="8">
        <v>14.3</v>
      </c>
      <c r="N48" s="8">
        <v>14.2</v>
      </c>
      <c r="O48" s="8">
        <v>72142</v>
      </c>
      <c r="P48" s="8">
        <v>21.34</v>
      </c>
      <c r="Q48" s="8">
        <v>-2.96</v>
      </c>
      <c r="R48" s="8">
        <v>2.27</v>
      </c>
      <c r="S48" s="8">
        <v>72.94</v>
      </c>
    </row>
    <row r="49" spans="1:19" x14ac:dyDescent="0.3">
      <c r="A49" s="8">
        <v>10</v>
      </c>
      <c r="B49" s="8" t="s">
        <v>66</v>
      </c>
      <c r="C49" s="8" t="s">
        <v>67</v>
      </c>
      <c r="D49" s="8" t="s">
        <v>68</v>
      </c>
      <c r="E49" s="8" t="s">
        <v>50</v>
      </c>
      <c r="F49" s="8" t="s">
        <v>69</v>
      </c>
      <c r="G49" s="8">
        <v>47.376899999999999</v>
      </c>
      <c r="H49" s="8">
        <v>8.5417000000000005</v>
      </c>
      <c r="I49" s="8">
        <v>2023</v>
      </c>
      <c r="J49" s="8">
        <v>43723</v>
      </c>
      <c r="K49" s="8">
        <v>29027</v>
      </c>
      <c r="L49" s="8">
        <v>1717604</v>
      </c>
      <c r="M49" s="8">
        <v>13</v>
      </c>
      <c r="N49" s="8">
        <v>14.4</v>
      </c>
      <c r="O49" s="8">
        <v>119406</v>
      </c>
      <c r="P49" s="8">
        <v>66.39</v>
      </c>
      <c r="Q49" s="8">
        <v>22.38</v>
      </c>
      <c r="R49" s="8">
        <v>280.63</v>
      </c>
      <c r="S49" s="8">
        <v>82.02</v>
      </c>
    </row>
    <row r="50" spans="1:19" x14ac:dyDescent="0.3">
      <c r="A50" s="8">
        <v>10</v>
      </c>
      <c r="B50" s="8" t="s">
        <v>66</v>
      </c>
      <c r="C50" s="8" t="s">
        <v>67</v>
      </c>
      <c r="D50" s="8" t="s">
        <v>68</v>
      </c>
      <c r="E50" s="8" t="s">
        <v>50</v>
      </c>
      <c r="F50" s="8" t="s">
        <v>69</v>
      </c>
      <c r="G50" s="8">
        <v>47.376899999999999</v>
      </c>
      <c r="H50" s="8">
        <v>8.5417000000000005</v>
      </c>
      <c r="I50" s="8">
        <v>2024</v>
      </c>
      <c r="J50" s="8">
        <v>48565</v>
      </c>
      <c r="K50" s="8">
        <v>5092</v>
      </c>
      <c r="L50" s="8">
        <v>1689439</v>
      </c>
      <c r="M50" s="8">
        <v>7.1</v>
      </c>
      <c r="N50" s="8">
        <v>14.3</v>
      </c>
      <c r="O50" s="8">
        <v>109946</v>
      </c>
      <c r="P50" s="8">
        <v>10.48</v>
      </c>
      <c r="Q50" s="8">
        <v>11.07</v>
      </c>
      <c r="R50" s="8">
        <v>-82.46</v>
      </c>
      <c r="S50" s="8">
        <v>25.55</v>
      </c>
    </row>
    <row r="51" spans="1:19" x14ac:dyDescent="0.3">
      <c r="A51" s="8">
        <v>10</v>
      </c>
      <c r="B51" s="8" t="s">
        <v>66</v>
      </c>
      <c r="C51" s="8" t="s">
        <v>67</v>
      </c>
      <c r="D51" s="8" t="s">
        <v>68</v>
      </c>
      <c r="E51" s="8" t="s">
        <v>50</v>
      </c>
      <c r="F51" s="8" t="s">
        <v>69</v>
      </c>
      <c r="G51" s="8">
        <v>47.376899999999999</v>
      </c>
      <c r="H51" s="8">
        <v>8.5417000000000005</v>
      </c>
      <c r="I51" s="8">
        <v>2025</v>
      </c>
      <c r="J51" s="8">
        <v>50500</v>
      </c>
      <c r="K51" s="8">
        <v>7767</v>
      </c>
      <c r="L51" s="8">
        <v>1700000</v>
      </c>
      <c r="M51" s="8">
        <v>10.8</v>
      </c>
      <c r="N51" s="8">
        <v>14.4</v>
      </c>
      <c r="O51" s="8">
        <v>108000</v>
      </c>
      <c r="P51" s="8">
        <v>15.38</v>
      </c>
      <c r="Q51" s="8">
        <v>3.98</v>
      </c>
      <c r="R51" s="8">
        <v>52.53</v>
      </c>
      <c r="S51" s="8">
        <v>43.03</v>
      </c>
    </row>
    <row r="52" spans="1:19" x14ac:dyDescent="0.3">
      <c r="A52" s="8">
        <v>11</v>
      </c>
      <c r="B52" s="8" t="s">
        <v>70</v>
      </c>
      <c r="C52" s="8" t="s">
        <v>71</v>
      </c>
      <c r="D52" s="8" t="s">
        <v>49</v>
      </c>
      <c r="E52" s="8" t="s">
        <v>50</v>
      </c>
      <c r="F52" s="8" t="s">
        <v>51</v>
      </c>
      <c r="G52" s="8">
        <v>48.8566</v>
      </c>
      <c r="H52" s="8">
        <v>2.3521999999999998</v>
      </c>
      <c r="I52" s="8">
        <v>2021</v>
      </c>
      <c r="J52" s="8">
        <v>30519.03</v>
      </c>
      <c r="K52" s="8">
        <v>6673.3</v>
      </c>
      <c r="L52" s="8">
        <v>1732781.51</v>
      </c>
      <c r="M52" s="8">
        <v>10</v>
      </c>
      <c r="N52" s="8">
        <v>13.7</v>
      </c>
      <c r="O52" s="8">
        <v>117000</v>
      </c>
      <c r="P52" s="8">
        <v>21.87</v>
      </c>
      <c r="Q52" s="8"/>
      <c r="R52" s="8"/>
      <c r="S52" s="8">
        <v>46.55</v>
      </c>
    </row>
    <row r="53" spans="1:19" x14ac:dyDescent="0.3">
      <c r="A53" s="8">
        <v>11</v>
      </c>
      <c r="B53" s="8" t="s">
        <v>70</v>
      </c>
      <c r="C53" s="8" t="s">
        <v>71</v>
      </c>
      <c r="D53" s="8" t="s">
        <v>49</v>
      </c>
      <c r="E53" s="8" t="s">
        <v>50</v>
      </c>
      <c r="F53" s="8" t="s">
        <v>51</v>
      </c>
      <c r="G53" s="8">
        <v>48.8566</v>
      </c>
      <c r="H53" s="8">
        <v>2.3521999999999998</v>
      </c>
      <c r="I53" s="8">
        <v>2022</v>
      </c>
      <c r="J53" s="8">
        <v>28594.21</v>
      </c>
      <c r="K53" s="8">
        <v>1921.73</v>
      </c>
      <c r="L53" s="8">
        <v>1612319.9</v>
      </c>
      <c r="M53" s="8">
        <v>2.9</v>
      </c>
      <c r="N53" s="8">
        <v>12.9</v>
      </c>
      <c r="O53" s="8">
        <v>117000</v>
      </c>
      <c r="P53" s="8">
        <v>6.72</v>
      </c>
      <c r="Q53" s="8">
        <v>-6.31</v>
      </c>
      <c r="R53" s="8">
        <v>-71.2</v>
      </c>
      <c r="S53" s="8">
        <v>15.44</v>
      </c>
    </row>
    <row r="54" spans="1:19" x14ac:dyDescent="0.3">
      <c r="A54" s="8">
        <v>11</v>
      </c>
      <c r="B54" s="8" t="s">
        <v>70</v>
      </c>
      <c r="C54" s="8" t="s">
        <v>71</v>
      </c>
      <c r="D54" s="8" t="s">
        <v>49</v>
      </c>
      <c r="E54" s="8" t="s">
        <v>50</v>
      </c>
      <c r="F54" s="8" t="s">
        <v>51</v>
      </c>
      <c r="G54" s="8">
        <v>48.8566</v>
      </c>
      <c r="H54" s="8">
        <v>2.3521999999999998</v>
      </c>
      <c r="I54" s="8">
        <v>2023</v>
      </c>
      <c r="J54" s="8">
        <v>27162.53</v>
      </c>
      <c r="K54" s="8">
        <v>2697.43</v>
      </c>
      <c r="L54" s="8">
        <v>1617781.51</v>
      </c>
      <c r="M54" s="8">
        <v>3.8</v>
      </c>
      <c r="N54" s="8">
        <v>13.1</v>
      </c>
      <c r="O54" s="8">
        <v>119000</v>
      </c>
      <c r="P54" s="8">
        <v>9.93</v>
      </c>
      <c r="Q54" s="8">
        <v>-5.01</v>
      </c>
      <c r="R54" s="8">
        <v>40.36</v>
      </c>
      <c r="S54" s="8">
        <v>16.72</v>
      </c>
    </row>
    <row r="55" spans="1:19" x14ac:dyDescent="0.3">
      <c r="A55" s="8">
        <v>11</v>
      </c>
      <c r="B55" s="8" t="s">
        <v>70</v>
      </c>
      <c r="C55" s="8" t="s">
        <v>71</v>
      </c>
      <c r="D55" s="8" t="s">
        <v>49</v>
      </c>
      <c r="E55" s="8" t="s">
        <v>50</v>
      </c>
      <c r="F55" s="8" t="s">
        <v>51</v>
      </c>
      <c r="G55" s="8">
        <v>48.8566</v>
      </c>
      <c r="H55" s="8">
        <v>2.3521999999999998</v>
      </c>
      <c r="I55" s="8">
        <v>2024</v>
      </c>
      <c r="J55" s="8">
        <v>28984.62</v>
      </c>
      <c r="K55" s="8">
        <v>4548.7299999999996</v>
      </c>
      <c r="L55" s="8">
        <v>1601360</v>
      </c>
      <c r="M55" s="8">
        <v>6.8</v>
      </c>
      <c r="N55" s="8">
        <v>13.3</v>
      </c>
      <c r="O55" s="8">
        <v>86000</v>
      </c>
      <c r="P55" s="8">
        <v>15.69</v>
      </c>
      <c r="Q55" s="8">
        <v>6.71</v>
      </c>
      <c r="R55" s="8">
        <v>68.63</v>
      </c>
      <c r="S55" s="8">
        <v>43.28</v>
      </c>
    </row>
    <row r="56" spans="1:19" x14ac:dyDescent="0.3">
      <c r="A56" s="8">
        <v>11</v>
      </c>
      <c r="B56" s="8" t="s">
        <v>70</v>
      </c>
      <c r="C56" s="8" t="s">
        <v>71</v>
      </c>
      <c r="D56" s="8" t="s">
        <v>49</v>
      </c>
      <c r="E56" s="8" t="s">
        <v>50</v>
      </c>
      <c r="F56" s="8" t="s">
        <v>51</v>
      </c>
      <c r="G56" s="8">
        <v>48.8566</v>
      </c>
      <c r="H56" s="8">
        <v>2.3521999999999998</v>
      </c>
      <c r="I56" s="8">
        <v>2025</v>
      </c>
      <c r="J56" s="8">
        <v>29434.32</v>
      </c>
      <c r="K56" s="8">
        <v>6480</v>
      </c>
      <c r="L56" s="8">
        <v>1620000</v>
      </c>
      <c r="M56" s="8">
        <v>10.199999999999999</v>
      </c>
      <c r="N56" s="8">
        <v>13.5</v>
      </c>
      <c r="O56" s="8">
        <v>82000</v>
      </c>
      <c r="P56" s="8">
        <v>22.02</v>
      </c>
      <c r="Q56" s="8">
        <v>1.55</v>
      </c>
      <c r="R56" s="8">
        <v>42.46</v>
      </c>
      <c r="S56" s="8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ReadMe</vt:lpstr>
      <vt:lpstr>Banks</vt:lpstr>
      <vt:lpstr>FX_Rates</vt:lpstr>
      <vt:lpstr>Financials_Raw</vt:lpstr>
      <vt:lpstr>Financials_USD</vt:lpstr>
      <vt:lpstr>Processed_for_PowerBI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TEMTSA GOUFFO Temtsa</cp:lastModifiedBy>
  <cp:revision>0</cp:revision>
  <dcterms:created xsi:type="dcterms:W3CDTF">2026-06-21T18:28:12Z</dcterms:created>
  <dcterms:modified xsi:type="dcterms:W3CDTF">2026-06-24T03:48:50Z</dcterms:modified>
  <dc:language>en-US</dc:language>
</cp:coreProperties>
</file>